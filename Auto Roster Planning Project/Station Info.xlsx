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emsgroup-my.sharepoint.com/personal/jackie_tan_uemsgroup_com/Documents/Desktop/Auto Roster Planning Project/"/>
    </mc:Choice>
  </mc:AlternateContent>
  <xr:revisionPtr revIDLastSave="1943" documentId="8_{D7DF5AAE-DBD6-4459-97B5-E4047CB23B34}" xr6:coauthVersionLast="47" xr6:coauthVersionMax="47" xr10:uidLastSave="{E001AEF4-00E6-4AF4-BA3C-947026553A18}"/>
  <bookViews>
    <workbookView xWindow="-110" yWindow="-110" windowWidth="19420" windowHeight="11500" firstSheet="2" activeTab="2" xr2:uid="{2415CBF6-D49C-4693-BD6F-AB97F1CAED35}"/>
  </bookViews>
  <sheets>
    <sheet name="Template" sheetId="12" state="hidden" r:id="rId1"/>
    <sheet name="WorkShift List" sheetId="11" state="hidden" r:id="rId2"/>
    <sheet name="Mon" sheetId="3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27__done_on_6_Aug">#REF!</definedName>
    <definedName name="_def2" hidden="1">#REF!</definedName>
    <definedName name="a" hidden="1">#REF!</definedName>
    <definedName name="aa" hidden="1">#REF!</definedName>
    <definedName name="aaa" hidden="1">#REF!</definedName>
    <definedName name="aaaaa" hidden="1">#REF!</definedName>
    <definedName name="aaaaaa" hidden="1">#REF!</definedName>
    <definedName name="aaaaaaa" hidden="1">#REF!</definedName>
    <definedName name="aaaaaaaaaaaaaaaaa" hidden="1">#REF!</definedName>
    <definedName name="abc">#REF!</definedName>
    <definedName name="AdjWACC">'[1]No 1 Introduction'!$D$21</definedName>
    <definedName name="approved">[2]lookup!$E$2:$E$3</definedName>
    <definedName name="asda">#REF!</definedName>
    <definedName name="AUDIT">'[3]ALL-AUDIT'!$A$2:$I$1910</definedName>
    <definedName name="Band_A">[4]Reference!$C$58</definedName>
    <definedName name="Band_B">[4]Reference!$D$58</definedName>
    <definedName name="Band_C">[4]Reference!$E$58</definedName>
    <definedName name="Band_D">[4]Reference!$F$58</definedName>
    <definedName name="Band_E">[4]Reference!$G$58</definedName>
    <definedName name="Band_F">[4]Reference!$H$58</definedName>
    <definedName name="Band_G">[4]Reference!$I$58</definedName>
    <definedName name="Band_H">[4]Reference!$J$58</definedName>
    <definedName name="Band_I">[4]Reference!$K$58</definedName>
    <definedName name="Band_J">[4]Reference!$L$58</definedName>
    <definedName name="Band_K">[4]Reference!$M$58</definedName>
    <definedName name="Band_L">[4]Reference!$N$58</definedName>
    <definedName name="BNE_MESSAGES_HIDDEN" hidden="1">#REF!</definedName>
    <definedName name="bnm" hidden="1">#REF!</definedName>
    <definedName name="CC">#REF!</definedName>
    <definedName name="ccccx" hidden="1">#REF!</definedName>
    <definedName name="CecalType2">#REF!</definedName>
    <definedName name="code">#REF!</definedName>
    <definedName name="company">[5]lookup!$D$2:$D$3</definedName>
    <definedName name="Corp_Reseller_price">#REF!</definedName>
    <definedName name="Costing">'[6]3. Levy &amp; CPF Rate '!#REF!</definedName>
    <definedName name="Country">[7]Reference!$A$2:$A$28</definedName>
    <definedName name="currency">[5]lookup!$C$2:$C$19</definedName>
    <definedName name="d">#REF!</definedName>
    <definedName name="data">#REF!</definedName>
    <definedName name="ddddddddddddddddd" hidden="1">#REF!</definedName>
    <definedName name="ddddddddddddddddddddddddddddd" hidden="1">#REF!</definedName>
    <definedName name="Decal1">#REF!</definedName>
    <definedName name="Decal2">#REF!</definedName>
    <definedName name="decals">#REF!</definedName>
    <definedName name="DecalType">#REF!</definedName>
    <definedName name="DecalType1">#REF!</definedName>
    <definedName name="DecalType2">#REF!</definedName>
    <definedName name="DecalType3">#REF!</definedName>
    <definedName name="DecalTypeRD">#REF!</definedName>
    <definedName name="DecalTyperRD">#REF!</definedName>
    <definedName name="DecalTypes">#REF!</definedName>
    <definedName name="DecalTypes1">#REF!</definedName>
    <definedName name="def" hidden="1">#REF!</definedName>
    <definedName name="DIST_PRICE">#REF!</definedName>
    <definedName name="eeee" hidden="1">#REF!</definedName>
    <definedName name="ERP_INPUT">[8]Input!$C$4</definedName>
    <definedName name="Est_Retail_Price">[8]Input!$C$7</definedName>
    <definedName name="Exchange">#REF!</definedName>
    <definedName name="Exchange_Rate">#REF!</definedName>
    <definedName name="ExchangeRate">#REF!</definedName>
    <definedName name="f" hidden="1">#REF!</definedName>
    <definedName name="fff" hidden="1">#REF!</definedName>
    <definedName name="fffff" hidden="1">#REF!</definedName>
    <definedName name="For_more_details__please_visit_MOM_website.">#REF!</definedName>
    <definedName name="g" hidden="1">#REF!</definedName>
    <definedName name="gg" hidden="1">#REF!</definedName>
    <definedName name="ggffd" hidden="1">#REF!</definedName>
    <definedName name="ggggg" hidden="1">#REF!</definedName>
    <definedName name="Gov">[9]lookup!$F$2:$F$4</definedName>
    <definedName name="GPO">'[6]3. Levy &amp; CPF Rate '!#REF!</definedName>
    <definedName name="HKGentry">'[10]1_HKG'!$E$26</definedName>
    <definedName name="HousekeepingS5">'[11]Summary &amp; Reference'!$C$13</definedName>
    <definedName name="IBM">#REF!</definedName>
    <definedName name="ISS">#REF!</definedName>
    <definedName name="ITEM_TYPES">[12]Control!$P$11:$P$1010</definedName>
    <definedName name="jj">#REF!</definedName>
    <definedName name="JPNentry">#REF!</definedName>
    <definedName name="k" hidden="1">#REF!</definedName>
    <definedName name="kkk" hidden="1">#REF!</definedName>
    <definedName name="kkkkkkkkkkkkkkkkkkkkkkkkkkkkk" hidden="1">#REF!</definedName>
    <definedName name="kkkkkkkkkkkkkkkkkkkkkkkkkkkkkkkkkkk" hidden="1">#REF!</definedName>
    <definedName name="LANGUAGES">[12]Control!$S$11:$S$1010</definedName>
    <definedName name="Large_Vip_Steps">[13]Reference!$A$133:$F$141</definedName>
    <definedName name="Level_A">[13]Reference!$D$58</definedName>
    <definedName name="Level_B">[13]Reference!$E$58</definedName>
    <definedName name="Level_C">[13]Reference!$F$58</definedName>
    <definedName name="lllll" hidden="1">#REF!</definedName>
    <definedName name="ManualOne">[14]Input!$C$35</definedName>
    <definedName name="MARKUP_ANSWER">[8]Reference!$B$24</definedName>
    <definedName name="MARKUP_TABLE">[8]Reference!$B$28:$H$30</definedName>
    <definedName name="Milda2">'[15]look ups'!$D$2:$D$59</definedName>
    <definedName name="mom">#REF!</definedName>
    <definedName name="MYSentry">'[10]1_MYS'!$E$26</definedName>
    <definedName name="njm" hidden="1">#REF!</definedName>
    <definedName name="number">[2]lookup!$I$2:$I$31</definedName>
    <definedName name="ONE">#REF!</definedName>
    <definedName name="Others2.5">'[11]Summary &amp; Reference'!$C$11</definedName>
    <definedName name="Per0.25">#REF!</definedName>
    <definedName name="Per100.50">'[16]Rate Table'!$C$16</definedName>
    <definedName name="Per100.90">'[16]Rate Table'!$C$18</definedName>
    <definedName name="Per101.72Yr3">'[17]Rate Table'!$C$12</definedName>
    <definedName name="Per101.74">'[17]Rate Table'!$C$5</definedName>
    <definedName name="Per101.94">'[16]Rate Table'!$C$14</definedName>
    <definedName name="Per102.55">'[17]Rate Table'!$C$10</definedName>
    <definedName name="Per103.02">'[17]Rate Table'!$C$4</definedName>
    <definedName name="Per103.10">'[16]Rate Table'!$C$17</definedName>
    <definedName name="Per103.74">#REF!</definedName>
    <definedName name="Per103.80">'[17]Rate Table'!$C$9</definedName>
    <definedName name="Per104.90">'[16]Rate Table'!$C$13</definedName>
    <definedName name="Per105.00">#REF!</definedName>
    <definedName name="Per105.22">'[17]Rate Table'!$C$8</definedName>
    <definedName name="Per105.3Yr3">'[17]Rate Table'!$C$11</definedName>
    <definedName name="Per150.00">[18]Reference!$C$9</definedName>
    <definedName name="Per16.25">'[17]Rate Table'!$C$6</definedName>
    <definedName name="Per17.00">#REF!</definedName>
    <definedName name="Per17.25">#REF!</definedName>
    <definedName name="Plain">#REF!</definedName>
    <definedName name="PrePost">#REF!</definedName>
    <definedName name="Print_Area_MI">#REF!</definedName>
    <definedName name="PRODUCT_GROUPS">[19]Control!$J$11:$J$1010</definedName>
    <definedName name="Product_Name">[13]Input!$C$4</definedName>
    <definedName name="Product_Type">[4]Input!$C$6</definedName>
    <definedName name="product_type_table">[4]Reference!$A$2:$B$10</definedName>
    <definedName name="PRODUCT_TYPES">[12]Control!$M$11:$M$1010</definedName>
    <definedName name="PV_dist_price">[4]Reference!$A$107:$K$115</definedName>
    <definedName name="PV_Res_price">[4]Reference!$A$95:$K$103</definedName>
    <definedName name="PV_STEPS">[13]Reference!$A$84:$K$92</definedName>
    <definedName name="qwe">#REF!</definedName>
    <definedName name="RaceDays">#REF!</definedName>
    <definedName name="RaceDays1">#REF!</definedName>
    <definedName name="Recover">[20]Macro1!$A$155</definedName>
    <definedName name="region">[9]lookup!$A$2:$A$6</definedName>
    <definedName name="Risk">[9]lookup!$G$2:$G$4</definedName>
    <definedName name="rr" hidden="1">#REF!</definedName>
    <definedName name="rrr">[21]lookup!$E$2:$E$3</definedName>
    <definedName name="rrrrrr">[21]lookup!$A$2:$A$19</definedName>
    <definedName name="rrrrrrrrrr">[22]Reference!$G$2:$G$70</definedName>
    <definedName name="rrrrrrrrrrrrrrr">'[23]look ups'!$D$2:$D$59</definedName>
    <definedName name="rrrrrrrrrrrrrrrrrrrrr">[21]lookup!$I$2:$I$31</definedName>
    <definedName name="rrrrrrrrrrrrrrrrrrrrrrrrrrrrrrrrrrrr">[21]lookup!$G$2:$G$67</definedName>
    <definedName name="RULES">[24]ERP!#REF!</definedName>
    <definedName name="s" hidden="1">#REF!</definedName>
    <definedName name="SalaryIn4">'[11]Summary &amp; Reference'!$C$10</definedName>
    <definedName name="SalaryRate">'[6]2. Details Costing'!$E$2</definedName>
    <definedName name="Selection">#REF!</definedName>
    <definedName name="Selectionq">#REF!</definedName>
    <definedName name="service">'[25]mapped scope matrix'!$A:$A</definedName>
    <definedName name="Service_Implication">[26]Reference!$H$2:$H$6</definedName>
    <definedName name="ServiceScope">[7]Reference!$G$2:$G$70</definedName>
    <definedName name="SGPentry">#REF!</definedName>
    <definedName name="SINCODE">'[27]SIN Lookups'!$B$1:$B$1001</definedName>
    <definedName name="SINDESC">#REF!</definedName>
    <definedName name="SINSKU">'[27]SIN Lookups'!$A$1:$A$1001</definedName>
    <definedName name="SLA">[28]lookup!$I$2:$I$3</definedName>
    <definedName name="SPYr1">'[6]3. Levy &amp; CPF Rate '!$B$6</definedName>
    <definedName name="SPYr2">'[6]3. Levy &amp; CPF Rate '!$D$6</definedName>
    <definedName name="SPYr3">'[6]3. Levy &amp; CPF Rate '!$F$6</definedName>
    <definedName name="SPYr4">'[6]3. Levy &amp; CPF Rate '!#REF!</definedName>
    <definedName name="SPYr5">'[6]3. Levy &amp; CPF Rate '!#REF!</definedName>
    <definedName name="sssssss" hidden="1">#REF!</definedName>
    <definedName name="Sub_Level_A">[13]Reference!$C$58</definedName>
    <definedName name="TableName">"Dummy"</definedName>
    <definedName name="tealady">#REF!</definedName>
    <definedName name="Tealadyx">#REF!</definedName>
    <definedName name="teast">'[29]look ups'!$A$2:$A$28</definedName>
    <definedName name="testzzzz">[28]lookup!$H$2:$H$4</definedName>
    <definedName name="THAentry">#REF!</definedName>
    <definedName name="three">#REF!</definedName>
    <definedName name="TWNentry">'[10]1_TWN'!$E$26</definedName>
    <definedName name="TWO">#REF!</definedName>
    <definedName name="type">[5]lookup!$F$2:$F$4</definedName>
    <definedName name="U.S._Dist.">[30]Input!$C$14</definedName>
    <definedName name="Upgrade_Insurance">[13]Reference!$C$47</definedName>
    <definedName name="VIP_DISCOUNTS">[4]Reference!$A$61:$O$69</definedName>
    <definedName name="VIP_STEPS">[13]Reference!$A$73:$G$81</definedName>
    <definedName name="WinCal0">#REF!</definedName>
    <definedName name="WinCalendar_Calendar_1">#REF!</definedName>
    <definedName name="WPYr1">'[6]3. Levy &amp; CPF Rate '!$B$7</definedName>
    <definedName name="WPYr2">'[6]3. Levy &amp; CPF Rate '!$D$7</definedName>
    <definedName name="WPYr3">#REF!</definedName>
    <definedName name="WPYr4">'[6]3. Levy &amp; CPF Rate '!#REF!</definedName>
    <definedName name="WPYr5">'[6]3. Levy &amp; CPF Rate '!#REF!</definedName>
    <definedName name="wsd">#REF!</definedName>
    <definedName name="xyz">#REF!</definedName>
    <definedName name="year">[5]lookup!$B$2:$B$7</definedName>
    <definedName name="Year1Table">'[11]Working Sheet'!$C$4:$G$42</definedName>
    <definedName name="yui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6" i="39" l="1"/>
  <c r="D223" i="39"/>
  <c r="D208" i="39"/>
  <c r="D200" i="39"/>
  <c r="D182" i="39"/>
  <c r="D174" i="39"/>
  <c r="D161" i="39"/>
  <c r="D148" i="39"/>
  <c r="D142" i="39"/>
  <c r="D126" i="39"/>
  <c r="D114" i="39"/>
  <c r="D84" i="39"/>
  <c r="D66" i="39"/>
  <c r="BB263" i="12"/>
  <c r="BB262" i="12"/>
  <c r="BB261" i="12"/>
  <c r="BB258" i="12"/>
  <c r="BB257" i="12"/>
  <c r="BB256" i="12"/>
  <c r="BB253" i="12"/>
  <c r="BB252" i="12"/>
  <c r="BB249" i="12"/>
  <c r="BB248" i="12"/>
  <c r="BB246" i="12"/>
  <c r="BB245" i="12"/>
  <c r="BB244" i="12"/>
  <c r="BB243" i="12"/>
  <c r="BB242" i="12"/>
  <c r="BB241" i="12"/>
  <c r="BB239" i="12"/>
  <c r="BB238" i="12"/>
  <c r="BB237" i="12"/>
  <c r="BB236" i="12"/>
  <c r="BB235" i="12"/>
  <c r="BB234" i="12"/>
  <c r="BB233" i="12"/>
  <c r="BB230" i="12"/>
  <c r="BB229" i="12"/>
  <c r="BB228" i="12"/>
  <c r="BB226" i="12"/>
  <c r="BB225" i="12"/>
  <c r="BB224" i="12"/>
  <c r="BB221" i="12"/>
  <c r="BB220" i="12"/>
  <c r="BB219" i="12"/>
  <c r="BB217" i="12"/>
  <c r="BB216" i="12"/>
  <c r="BB215" i="12"/>
  <c r="BB212" i="12"/>
  <c r="BB209" i="12"/>
  <c r="BB206" i="12"/>
  <c r="BB205" i="12"/>
  <c r="BB204" i="12"/>
  <c r="BB203" i="12"/>
  <c r="BB202" i="12"/>
  <c r="BB195" i="12"/>
  <c r="BB194" i="12"/>
  <c r="BB193" i="12"/>
  <c r="BB190" i="12"/>
  <c r="BB189" i="12"/>
  <c r="BB187" i="12"/>
  <c r="BB186" i="12"/>
  <c r="BB183" i="12"/>
  <c r="BB182" i="12"/>
  <c r="BB181" i="12"/>
  <c r="BB178" i="12"/>
  <c r="BB177" i="12"/>
  <c r="BB174" i="12"/>
  <c r="BB172" i="12"/>
  <c r="BB171" i="12"/>
  <c r="BB168" i="12"/>
  <c r="BB165" i="12"/>
  <c r="BB162" i="12"/>
  <c r="BB161" i="12"/>
  <c r="BB160" i="12"/>
  <c r="BB157" i="12"/>
  <c r="BB155" i="12"/>
  <c r="BB154" i="12"/>
  <c r="BB153" i="12"/>
  <c r="BB150" i="12"/>
  <c r="BB148" i="12"/>
  <c r="BB147" i="12"/>
  <c r="BB146" i="12"/>
  <c r="BB136" i="12"/>
  <c r="BB137" i="12"/>
  <c r="BB138" i="12"/>
  <c r="BB139" i="12"/>
  <c r="BB140" i="12"/>
  <c r="BB135" i="12"/>
  <c r="BB123" i="12"/>
  <c r="BB124" i="12"/>
  <c r="BB125" i="12"/>
  <c r="BB126" i="12"/>
  <c r="BB127" i="12"/>
  <c r="BB128" i="12"/>
  <c r="BB129" i="12"/>
  <c r="BB130" i="12"/>
  <c r="BB131" i="12"/>
  <c r="BB132" i="12"/>
  <c r="BB122" i="12"/>
  <c r="BB109" i="12"/>
  <c r="BB110" i="12"/>
  <c r="BB111" i="12"/>
  <c r="BB112" i="12"/>
  <c r="BB113" i="12"/>
  <c r="BB114" i="12"/>
  <c r="BB115" i="12"/>
  <c r="BB116" i="12"/>
  <c r="BB117" i="12"/>
  <c r="BB118" i="12"/>
  <c r="BB119" i="12"/>
  <c r="BB120" i="12"/>
  <c r="BB108" i="12"/>
  <c r="BB106" i="12"/>
  <c r="BB105" i="12"/>
  <c r="BB104" i="12"/>
  <c r="BB103" i="12"/>
  <c r="BB102" i="12"/>
  <c r="BB101" i="12"/>
  <c r="BB100" i="12"/>
  <c r="BB99" i="12"/>
  <c r="BB98" i="12"/>
  <c r="BB97" i="12"/>
  <c r="BB96" i="12"/>
  <c r="BB95" i="12"/>
  <c r="BB94" i="12"/>
  <c r="BB93" i="12"/>
  <c r="BB92" i="12"/>
  <c r="BB89" i="12"/>
  <c r="BB88" i="12"/>
  <c r="BB87" i="12"/>
  <c r="BB86" i="12"/>
  <c r="BB85" i="12"/>
  <c r="AZ131" i="12"/>
  <c r="AZ82" i="12"/>
  <c r="AZ49" i="12"/>
  <c r="AZ48" i="12"/>
  <c r="AU104" i="12"/>
  <c r="Z5" i="12"/>
  <c r="AA5" i="12" s="1"/>
  <c r="AY132" i="12"/>
  <c r="AZ132" i="12" s="1"/>
  <c r="AY131" i="12"/>
  <c r="AY130" i="12"/>
  <c r="AZ130" i="12" s="1"/>
  <c r="AT132" i="12"/>
  <c r="AU132" i="12" s="1"/>
  <c r="AT131" i="12"/>
  <c r="AU131" i="12" s="1"/>
  <c r="AT130" i="12"/>
  <c r="AU130" i="12" s="1"/>
  <c r="AO132" i="12"/>
  <c r="AP132" i="12" s="1"/>
  <c r="AO131" i="12"/>
  <c r="AP131" i="12" s="1"/>
  <c r="AO130" i="12"/>
  <c r="AP130" i="12" s="1"/>
  <c r="AJ132" i="12"/>
  <c r="AK132" i="12" s="1"/>
  <c r="AJ131" i="12"/>
  <c r="AK131" i="12" s="1"/>
  <c r="AJ130" i="12"/>
  <c r="AK130" i="12" s="1"/>
  <c r="AE132" i="12"/>
  <c r="AF132" i="12" s="1"/>
  <c r="AE131" i="12"/>
  <c r="AF131" i="12" s="1"/>
  <c r="AE130" i="12"/>
  <c r="AF130" i="12" s="1"/>
  <c r="Z132" i="12"/>
  <c r="AA132" i="12" s="1"/>
  <c r="Z131" i="12"/>
  <c r="AA131" i="12" s="1"/>
  <c r="Z130" i="12"/>
  <c r="AA130" i="12" s="1"/>
  <c r="AY120" i="12"/>
  <c r="AZ120" i="12" s="1"/>
  <c r="AY119" i="12"/>
  <c r="AZ119" i="12" s="1"/>
  <c r="AY118" i="12"/>
  <c r="AZ118" i="12" s="1"/>
  <c r="AT120" i="12"/>
  <c r="AU120" i="12" s="1"/>
  <c r="AT119" i="12"/>
  <c r="AU119" i="12" s="1"/>
  <c r="AT118" i="12"/>
  <c r="AU118" i="12" s="1"/>
  <c r="AO120" i="12"/>
  <c r="AP120" i="12" s="1"/>
  <c r="AO119" i="12"/>
  <c r="AP119" i="12" s="1"/>
  <c r="AO118" i="12"/>
  <c r="AP118" i="12" s="1"/>
  <c r="AJ120" i="12"/>
  <c r="AK120" i="12" s="1"/>
  <c r="AJ119" i="12"/>
  <c r="AK119" i="12" s="1"/>
  <c r="AJ118" i="12"/>
  <c r="AK118" i="12" s="1"/>
  <c r="AE120" i="12"/>
  <c r="AF120" i="12" s="1"/>
  <c r="AE119" i="12"/>
  <c r="AF119" i="12" s="1"/>
  <c r="AE118" i="12"/>
  <c r="AF118" i="12" s="1"/>
  <c r="Z120" i="12"/>
  <c r="AA120" i="12" s="1"/>
  <c r="Z119" i="12"/>
  <c r="AA119" i="12" s="1"/>
  <c r="Z118" i="12"/>
  <c r="AA118" i="12" s="1"/>
  <c r="AY106" i="12"/>
  <c r="AZ106" i="12" s="1"/>
  <c r="AY105" i="12"/>
  <c r="AZ105" i="12" s="1"/>
  <c r="AY104" i="12"/>
  <c r="AZ104" i="12" s="1"/>
  <c r="AT106" i="12"/>
  <c r="AU106" i="12" s="1"/>
  <c r="AT105" i="12"/>
  <c r="AU105" i="12" s="1"/>
  <c r="AT104" i="12"/>
  <c r="AO106" i="12"/>
  <c r="AP106" i="12" s="1"/>
  <c r="AO105" i="12"/>
  <c r="AP105" i="12" s="1"/>
  <c r="AO104" i="12"/>
  <c r="AP104" i="12" s="1"/>
  <c r="AJ106" i="12"/>
  <c r="AK106" i="12" s="1"/>
  <c r="AJ105" i="12"/>
  <c r="AK105" i="12" s="1"/>
  <c r="AJ104" i="12"/>
  <c r="AK104" i="12" s="1"/>
  <c r="AE106" i="12"/>
  <c r="AF106" i="12" s="1"/>
  <c r="AE105" i="12"/>
  <c r="AF105" i="12" s="1"/>
  <c r="AE104" i="12"/>
  <c r="AF104" i="12" s="1"/>
  <c r="Z106" i="12"/>
  <c r="AA106" i="12" s="1"/>
  <c r="Z105" i="12"/>
  <c r="AA105" i="12" s="1"/>
  <c r="Z104" i="12"/>
  <c r="AA104" i="12" s="1"/>
  <c r="AY89" i="12"/>
  <c r="AZ89" i="12" s="1"/>
  <c r="AY88" i="12"/>
  <c r="AZ88" i="12" s="1"/>
  <c r="AT89" i="12"/>
  <c r="AU89" i="12" s="1"/>
  <c r="AT88" i="12"/>
  <c r="AU88" i="12" s="1"/>
  <c r="AO89" i="12"/>
  <c r="AP89" i="12" s="1"/>
  <c r="AO88" i="12"/>
  <c r="AP88" i="12" s="1"/>
  <c r="AJ89" i="12"/>
  <c r="AK89" i="12" s="1"/>
  <c r="AJ88" i="12"/>
  <c r="AK88" i="12" s="1"/>
  <c r="AE89" i="12"/>
  <c r="AF89" i="12" s="1"/>
  <c r="AE88" i="12"/>
  <c r="AF88" i="12" s="1"/>
  <c r="Z89" i="12"/>
  <c r="AA89" i="12" s="1"/>
  <c r="Z88" i="12"/>
  <c r="AA88" i="12" s="1"/>
  <c r="AY83" i="12"/>
  <c r="AZ83" i="12" s="1"/>
  <c r="AY82" i="12"/>
  <c r="AT83" i="12"/>
  <c r="AU83" i="12" s="1"/>
  <c r="AT82" i="12"/>
  <c r="AU82" i="12" s="1"/>
  <c r="AO83" i="12"/>
  <c r="AP83" i="12" s="1"/>
  <c r="AO82" i="12"/>
  <c r="AP82" i="12" s="1"/>
  <c r="AJ83" i="12"/>
  <c r="AK83" i="12" s="1"/>
  <c r="AJ82" i="12"/>
  <c r="AK82" i="12" s="1"/>
  <c r="AE83" i="12"/>
  <c r="AF83" i="12" s="1"/>
  <c r="AE82" i="12"/>
  <c r="AF82" i="12" s="1"/>
  <c r="Z83" i="12"/>
  <c r="AA83" i="12" s="1"/>
  <c r="BB83" i="12" s="1"/>
  <c r="Z82" i="12"/>
  <c r="AA82" i="12" s="1"/>
  <c r="BB82" i="12" s="1"/>
  <c r="AY72" i="12"/>
  <c r="AZ72" i="12" s="1"/>
  <c r="AT72" i="12"/>
  <c r="AU72" i="12" s="1"/>
  <c r="AO72" i="12"/>
  <c r="AP72" i="12" s="1"/>
  <c r="AJ72" i="12"/>
  <c r="AK72" i="12" s="1"/>
  <c r="AE72" i="12"/>
  <c r="AF72" i="12" s="1"/>
  <c r="Z72" i="12"/>
  <c r="AA72" i="12" s="1"/>
  <c r="AY70" i="12"/>
  <c r="AZ70" i="12" s="1"/>
  <c r="AT70" i="12"/>
  <c r="AU70" i="12" s="1"/>
  <c r="AO70" i="12"/>
  <c r="AP70" i="12" s="1"/>
  <c r="AJ70" i="12"/>
  <c r="AK70" i="12" s="1"/>
  <c r="AE70" i="12"/>
  <c r="AF70" i="12" s="1"/>
  <c r="Z70" i="12"/>
  <c r="AA70" i="12" s="1"/>
  <c r="AY62" i="12"/>
  <c r="AZ62" i="12" s="1"/>
  <c r="AT62" i="12"/>
  <c r="AU62" i="12" s="1"/>
  <c r="AO62" i="12"/>
  <c r="AP62" i="12" s="1"/>
  <c r="AJ62" i="12"/>
  <c r="AK62" i="12" s="1"/>
  <c r="AE62" i="12"/>
  <c r="AF62" i="12" s="1"/>
  <c r="Z62" i="12"/>
  <c r="AA62" i="12" s="1"/>
  <c r="AY49" i="12"/>
  <c r="AY48" i="12"/>
  <c r="AY47" i="12"/>
  <c r="AZ47" i="12" s="1"/>
  <c r="AY46" i="12"/>
  <c r="AZ46" i="12" s="1"/>
  <c r="AY45" i="12"/>
  <c r="AZ45" i="12" s="1"/>
  <c r="AT49" i="12"/>
  <c r="AU49" i="12" s="1"/>
  <c r="AT48" i="12"/>
  <c r="AU48" i="12" s="1"/>
  <c r="AT47" i="12"/>
  <c r="AU47" i="12" s="1"/>
  <c r="AT46" i="12"/>
  <c r="AU46" i="12" s="1"/>
  <c r="AT45" i="12"/>
  <c r="AU45" i="12" s="1"/>
  <c r="AO49" i="12"/>
  <c r="AP49" i="12" s="1"/>
  <c r="AO48" i="12"/>
  <c r="AP48" i="12" s="1"/>
  <c r="AO47" i="12"/>
  <c r="AP47" i="12" s="1"/>
  <c r="AO46" i="12"/>
  <c r="AP46" i="12" s="1"/>
  <c r="AO45" i="12"/>
  <c r="AP45" i="12" s="1"/>
  <c r="AJ49" i="12"/>
  <c r="AK49" i="12" s="1"/>
  <c r="AJ48" i="12"/>
  <c r="AK48" i="12" s="1"/>
  <c r="AJ47" i="12"/>
  <c r="AK47" i="12" s="1"/>
  <c r="AJ46" i="12"/>
  <c r="AK46" i="12" s="1"/>
  <c r="AJ45" i="12"/>
  <c r="AK45" i="12" s="1"/>
  <c r="AE49" i="12"/>
  <c r="AF49" i="12" s="1"/>
  <c r="AE48" i="12"/>
  <c r="AF48" i="12" s="1"/>
  <c r="AE47" i="12"/>
  <c r="AF47" i="12" s="1"/>
  <c r="AE46" i="12"/>
  <c r="AF46" i="12" s="1"/>
  <c r="AE45" i="12"/>
  <c r="AF45" i="12" s="1"/>
  <c r="Z49" i="12"/>
  <c r="AA49" i="12" s="1"/>
  <c r="Z48" i="12"/>
  <c r="AA48" i="12" s="1"/>
  <c r="Z47" i="12"/>
  <c r="AA47" i="12" s="1"/>
  <c r="Z46" i="12"/>
  <c r="AA46" i="12" s="1"/>
  <c r="Z45" i="12"/>
  <c r="AA45" i="12" s="1"/>
  <c r="AY6" i="12"/>
  <c r="AZ6" i="12" s="1"/>
  <c r="AY5" i="12"/>
  <c r="AZ5" i="12" s="1"/>
  <c r="BB5" i="12" s="1"/>
  <c r="AT6" i="12"/>
  <c r="AU6" i="12" s="1"/>
  <c r="AT5" i="12"/>
  <c r="AU5" i="12" s="1"/>
  <c r="AO6" i="12"/>
  <c r="AP6" i="12" s="1"/>
  <c r="AO5" i="12"/>
  <c r="AP5" i="12" s="1"/>
  <c r="AJ6" i="12"/>
  <c r="AK6" i="12" s="1"/>
  <c r="AJ5" i="12"/>
  <c r="AK5" i="12" s="1"/>
  <c r="AE6" i="12"/>
  <c r="AF6" i="12" s="1"/>
  <c r="AE5" i="12"/>
  <c r="AF5" i="12" s="1"/>
  <c r="Z6" i="12"/>
  <c r="AA6" i="12" s="1"/>
  <c r="L84" i="12"/>
  <c r="L90" i="12"/>
  <c r="BB70" i="12" l="1"/>
  <c r="BB72" i="12"/>
  <c r="BB46" i="12"/>
  <c r="BB6" i="12"/>
  <c r="BB48" i="12"/>
  <c r="BB47" i="12"/>
  <c r="BB49" i="12"/>
  <c r="BB62" i="12"/>
  <c r="BB45" i="12"/>
  <c r="BC89" i="12"/>
  <c r="BD89" i="12" s="1"/>
  <c r="BC83" i="12"/>
  <c r="BD83" i="12" s="1"/>
  <c r="L264" i="12" l="1"/>
  <c r="M261" i="12" s="1"/>
  <c r="AY263" i="12"/>
  <c r="AZ263" i="12" s="1"/>
  <c r="AT263" i="12"/>
  <c r="AU263" i="12" s="1"/>
  <c r="AO263" i="12"/>
  <c r="AP263" i="12" s="1"/>
  <c r="AJ263" i="12"/>
  <c r="AK263" i="12" s="1"/>
  <c r="AE263" i="12"/>
  <c r="AF263" i="12" s="1"/>
  <c r="Z263" i="12"/>
  <c r="AA263" i="12" s="1"/>
  <c r="AY262" i="12"/>
  <c r="AZ262" i="12" s="1"/>
  <c r="AT262" i="12"/>
  <c r="AU262" i="12" s="1"/>
  <c r="AO262" i="12"/>
  <c r="AP262" i="12" s="1"/>
  <c r="AJ262" i="12"/>
  <c r="AK262" i="12" s="1"/>
  <c r="AE262" i="12"/>
  <c r="AF262" i="12" s="1"/>
  <c r="Z262" i="12"/>
  <c r="AA262" i="12" s="1"/>
  <c r="AY261" i="12"/>
  <c r="AZ261" i="12" s="1"/>
  <c r="AT261" i="12"/>
  <c r="AU261" i="12" s="1"/>
  <c r="AO261" i="12"/>
  <c r="AP261" i="12" s="1"/>
  <c r="AJ261" i="12"/>
  <c r="AK261" i="12" s="1"/>
  <c r="AE261" i="12"/>
  <c r="AF261" i="12" s="1"/>
  <c r="Z261" i="12"/>
  <c r="AA261" i="12" s="1"/>
  <c r="J261" i="12"/>
  <c r="L259" i="12"/>
  <c r="M256" i="12" s="1"/>
  <c r="H259" i="12"/>
  <c r="AY258" i="12"/>
  <c r="AZ258" i="12" s="1"/>
  <c r="AT258" i="12"/>
  <c r="AU258" i="12" s="1"/>
  <c r="AO258" i="12"/>
  <c r="AP258" i="12" s="1"/>
  <c r="AJ258" i="12"/>
  <c r="AK258" i="12" s="1"/>
  <c r="AE258" i="12"/>
  <c r="AF258" i="12" s="1"/>
  <c r="Z258" i="12"/>
  <c r="AA258" i="12" s="1"/>
  <c r="AY257" i="12"/>
  <c r="AZ257" i="12" s="1"/>
  <c r="AT257" i="12"/>
  <c r="AU257" i="12" s="1"/>
  <c r="AO257" i="12"/>
  <c r="AP257" i="12" s="1"/>
  <c r="AJ257" i="12"/>
  <c r="AK257" i="12" s="1"/>
  <c r="AE257" i="12"/>
  <c r="AF257" i="12" s="1"/>
  <c r="Z257" i="12"/>
  <c r="AA257" i="12" s="1"/>
  <c r="AY256" i="12"/>
  <c r="AZ256" i="12" s="1"/>
  <c r="AT256" i="12"/>
  <c r="AU256" i="12" s="1"/>
  <c r="AO256" i="12"/>
  <c r="AP256" i="12" s="1"/>
  <c r="AJ256" i="12"/>
  <c r="AK256" i="12" s="1"/>
  <c r="AE256" i="12"/>
  <c r="AF256" i="12" s="1"/>
  <c r="Z256" i="12"/>
  <c r="AA256" i="12" s="1"/>
  <c r="I256" i="12"/>
  <c r="I259" i="12" s="1"/>
  <c r="J256" i="12" s="1"/>
  <c r="L254" i="12"/>
  <c r="M252" i="12" s="1"/>
  <c r="H254" i="12"/>
  <c r="AY253" i="12"/>
  <c r="AZ253" i="12" s="1"/>
  <c r="AT253" i="12"/>
  <c r="AU253" i="12" s="1"/>
  <c r="AO253" i="12"/>
  <c r="AP253" i="12" s="1"/>
  <c r="AJ253" i="12"/>
  <c r="AK253" i="12" s="1"/>
  <c r="AE253" i="12"/>
  <c r="AF253" i="12" s="1"/>
  <c r="Z253" i="12"/>
  <c r="AA253" i="12" s="1"/>
  <c r="I253" i="12"/>
  <c r="AY252" i="12"/>
  <c r="AZ252" i="12" s="1"/>
  <c r="AT252" i="12"/>
  <c r="AU252" i="12" s="1"/>
  <c r="AO252" i="12"/>
  <c r="AP252" i="12" s="1"/>
  <c r="AJ252" i="12"/>
  <c r="AK252" i="12" s="1"/>
  <c r="AE252" i="12"/>
  <c r="AF252" i="12" s="1"/>
  <c r="Z252" i="12"/>
  <c r="AA252" i="12" s="1"/>
  <c r="I252" i="12"/>
  <c r="L250" i="12"/>
  <c r="M248" i="12" s="1"/>
  <c r="H250" i="12"/>
  <c r="AY249" i="12"/>
  <c r="AZ249" i="12" s="1"/>
  <c r="AT249" i="12"/>
  <c r="AU249" i="12" s="1"/>
  <c r="AO249" i="12"/>
  <c r="AP249" i="12" s="1"/>
  <c r="AJ249" i="12"/>
  <c r="AK249" i="12" s="1"/>
  <c r="AE249" i="12"/>
  <c r="AF249" i="12" s="1"/>
  <c r="Z249" i="12"/>
  <c r="AA249" i="12" s="1"/>
  <c r="I249" i="12"/>
  <c r="AY248" i="12"/>
  <c r="AZ248" i="12" s="1"/>
  <c r="AT248" i="12"/>
  <c r="AU248" i="12" s="1"/>
  <c r="AO248" i="12"/>
  <c r="AP248" i="12" s="1"/>
  <c r="AJ248" i="12"/>
  <c r="AK248" i="12" s="1"/>
  <c r="AE248" i="12"/>
  <c r="AF248" i="12" s="1"/>
  <c r="Z248" i="12"/>
  <c r="AA248" i="12" s="1"/>
  <c r="I248" i="12"/>
  <c r="L247" i="12"/>
  <c r="M241" i="12" s="1"/>
  <c r="H247" i="12"/>
  <c r="AY246" i="12"/>
  <c r="AZ246" i="12" s="1"/>
  <c r="AT246" i="12"/>
  <c r="AU246" i="12" s="1"/>
  <c r="AO246" i="12"/>
  <c r="AP246" i="12" s="1"/>
  <c r="AJ246" i="12"/>
  <c r="AK246" i="12" s="1"/>
  <c r="AE246" i="12"/>
  <c r="AF246" i="12" s="1"/>
  <c r="Z246" i="12"/>
  <c r="AA246" i="12" s="1"/>
  <c r="I246" i="12"/>
  <c r="AY245" i="12"/>
  <c r="AZ245" i="12" s="1"/>
  <c r="AT245" i="12"/>
  <c r="AU245" i="12" s="1"/>
  <c r="AO245" i="12"/>
  <c r="AP245" i="12" s="1"/>
  <c r="AJ245" i="12"/>
  <c r="AK245" i="12" s="1"/>
  <c r="AE245" i="12"/>
  <c r="AF245" i="12" s="1"/>
  <c r="Z245" i="12"/>
  <c r="AA245" i="12" s="1"/>
  <c r="I245" i="12"/>
  <c r="AY244" i="12"/>
  <c r="AZ244" i="12" s="1"/>
  <c r="AT244" i="12"/>
  <c r="AU244" i="12" s="1"/>
  <c r="AO244" i="12"/>
  <c r="AP244" i="12" s="1"/>
  <c r="AJ244" i="12"/>
  <c r="AK244" i="12" s="1"/>
  <c r="AE244" i="12"/>
  <c r="AF244" i="12" s="1"/>
  <c r="Z244" i="12"/>
  <c r="AA244" i="12" s="1"/>
  <c r="I244" i="12"/>
  <c r="AY243" i="12"/>
  <c r="AZ243" i="12" s="1"/>
  <c r="AT243" i="12"/>
  <c r="AU243" i="12" s="1"/>
  <c r="AO243" i="12"/>
  <c r="AP243" i="12" s="1"/>
  <c r="AJ243" i="12"/>
  <c r="AK243" i="12" s="1"/>
  <c r="AE243" i="12"/>
  <c r="AF243" i="12" s="1"/>
  <c r="Z243" i="12"/>
  <c r="AA243" i="12" s="1"/>
  <c r="AY242" i="12"/>
  <c r="AZ242" i="12" s="1"/>
  <c r="AT242" i="12"/>
  <c r="AU242" i="12" s="1"/>
  <c r="AO242" i="12"/>
  <c r="AP242" i="12" s="1"/>
  <c r="AJ242" i="12"/>
  <c r="AK242" i="12" s="1"/>
  <c r="AE242" i="12"/>
  <c r="AF242" i="12" s="1"/>
  <c r="Z242" i="12"/>
  <c r="AA242" i="12" s="1"/>
  <c r="I242" i="12"/>
  <c r="AY241" i="12"/>
  <c r="AZ241" i="12" s="1"/>
  <c r="AT241" i="12"/>
  <c r="AU241" i="12" s="1"/>
  <c r="AO241" i="12"/>
  <c r="AP241" i="12" s="1"/>
  <c r="AJ241" i="12"/>
  <c r="AK241" i="12" s="1"/>
  <c r="AE241" i="12"/>
  <c r="AF241" i="12" s="1"/>
  <c r="Z241" i="12"/>
  <c r="AA241" i="12" s="1"/>
  <c r="I241" i="12"/>
  <c r="L240" i="12"/>
  <c r="M233" i="12" s="1"/>
  <c r="H240" i="12"/>
  <c r="AY239" i="12"/>
  <c r="AZ239" i="12" s="1"/>
  <c r="AT239" i="12"/>
  <c r="AU239" i="12" s="1"/>
  <c r="AO239" i="12"/>
  <c r="AP239" i="12" s="1"/>
  <c r="AJ239" i="12"/>
  <c r="AK239" i="12" s="1"/>
  <c r="AE239" i="12"/>
  <c r="AF239" i="12" s="1"/>
  <c r="Z239" i="12"/>
  <c r="AA239" i="12" s="1"/>
  <c r="I239" i="12"/>
  <c r="AY238" i="12"/>
  <c r="AZ238" i="12" s="1"/>
  <c r="AT238" i="12"/>
  <c r="AU238" i="12" s="1"/>
  <c r="AO238" i="12"/>
  <c r="AP238" i="12" s="1"/>
  <c r="AJ238" i="12"/>
  <c r="AK238" i="12" s="1"/>
  <c r="AE238" i="12"/>
  <c r="AF238" i="12" s="1"/>
  <c r="Z238" i="12"/>
  <c r="AA238" i="12" s="1"/>
  <c r="I238" i="12"/>
  <c r="AY237" i="12"/>
  <c r="AZ237" i="12" s="1"/>
  <c r="AT237" i="12"/>
  <c r="AU237" i="12" s="1"/>
  <c r="AO237" i="12"/>
  <c r="AP237" i="12" s="1"/>
  <c r="AJ237" i="12"/>
  <c r="AK237" i="12" s="1"/>
  <c r="AE237" i="12"/>
  <c r="AF237" i="12" s="1"/>
  <c r="Z237" i="12"/>
  <c r="AA237" i="12" s="1"/>
  <c r="I237" i="12"/>
  <c r="AY236" i="12"/>
  <c r="AZ236" i="12" s="1"/>
  <c r="AT236" i="12"/>
  <c r="AU236" i="12" s="1"/>
  <c r="AO236" i="12"/>
  <c r="AP236" i="12" s="1"/>
  <c r="AJ236" i="12"/>
  <c r="AK236" i="12" s="1"/>
  <c r="AE236" i="12"/>
  <c r="AF236" i="12" s="1"/>
  <c r="Z236" i="12"/>
  <c r="AA236" i="12" s="1"/>
  <c r="AY235" i="12"/>
  <c r="AZ235" i="12" s="1"/>
  <c r="AT235" i="12"/>
  <c r="AU235" i="12" s="1"/>
  <c r="AO235" i="12"/>
  <c r="AP235" i="12" s="1"/>
  <c r="AJ235" i="12"/>
  <c r="AK235" i="12" s="1"/>
  <c r="AE235" i="12"/>
  <c r="AF235" i="12" s="1"/>
  <c r="Z235" i="12"/>
  <c r="AA235" i="12" s="1"/>
  <c r="I235" i="12"/>
  <c r="AY234" i="12"/>
  <c r="AZ234" i="12" s="1"/>
  <c r="AT234" i="12"/>
  <c r="AU234" i="12" s="1"/>
  <c r="AO234" i="12"/>
  <c r="AP234" i="12" s="1"/>
  <c r="AJ234" i="12"/>
  <c r="AK234" i="12" s="1"/>
  <c r="AE234" i="12"/>
  <c r="AF234" i="12" s="1"/>
  <c r="Z234" i="12"/>
  <c r="AA234" i="12" s="1"/>
  <c r="AY233" i="12"/>
  <c r="AZ233" i="12" s="1"/>
  <c r="AT233" i="12"/>
  <c r="AU233" i="12" s="1"/>
  <c r="AO233" i="12"/>
  <c r="AP233" i="12" s="1"/>
  <c r="AJ233" i="12"/>
  <c r="AK233" i="12" s="1"/>
  <c r="AE233" i="12"/>
  <c r="AF233" i="12" s="1"/>
  <c r="Z233" i="12"/>
  <c r="AA233" i="12" s="1"/>
  <c r="I233" i="12"/>
  <c r="L231" i="12"/>
  <c r="M228" i="12" s="1"/>
  <c r="H231" i="12"/>
  <c r="AY230" i="12"/>
  <c r="AZ230" i="12" s="1"/>
  <c r="AT230" i="12"/>
  <c r="AU230" i="12" s="1"/>
  <c r="AO230" i="12"/>
  <c r="AP230" i="12" s="1"/>
  <c r="AJ230" i="12"/>
  <c r="AK230" i="12" s="1"/>
  <c r="AE230" i="12"/>
  <c r="AF230" i="12" s="1"/>
  <c r="Z230" i="12"/>
  <c r="AA230" i="12" s="1"/>
  <c r="I230" i="12"/>
  <c r="I231" i="12" s="1"/>
  <c r="J228" i="12" s="1"/>
  <c r="AY229" i="12"/>
  <c r="AZ229" i="12" s="1"/>
  <c r="AT229" i="12"/>
  <c r="AU229" i="12" s="1"/>
  <c r="AO229" i="12"/>
  <c r="AP229" i="12" s="1"/>
  <c r="AJ229" i="12"/>
  <c r="AK229" i="12" s="1"/>
  <c r="AE229" i="12"/>
  <c r="AF229" i="12" s="1"/>
  <c r="Z229" i="12"/>
  <c r="AA229" i="12" s="1"/>
  <c r="AY228" i="12"/>
  <c r="AZ228" i="12" s="1"/>
  <c r="AT228" i="12"/>
  <c r="AU228" i="12" s="1"/>
  <c r="AO228" i="12"/>
  <c r="AP228" i="12" s="1"/>
  <c r="AJ228" i="12"/>
  <c r="AK228" i="12" s="1"/>
  <c r="AE228" i="12"/>
  <c r="AF228" i="12" s="1"/>
  <c r="Z228" i="12"/>
  <c r="AA228" i="12" s="1"/>
  <c r="L227" i="12"/>
  <c r="M224" i="12" s="1"/>
  <c r="H227" i="12"/>
  <c r="AY226" i="12"/>
  <c r="AZ226" i="12" s="1"/>
  <c r="AT226" i="12"/>
  <c r="AU226" i="12" s="1"/>
  <c r="AO226" i="12"/>
  <c r="AP226" i="12" s="1"/>
  <c r="AJ226" i="12"/>
  <c r="AK226" i="12" s="1"/>
  <c r="AE226" i="12"/>
  <c r="AF226" i="12" s="1"/>
  <c r="Z226" i="12"/>
  <c r="AA226" i="12" s="1"/>
  <c r="I226" i="12"/>
  <c r="AY225" i="12"/>
  <c r="AZ225" i="12" s="1"/>
  <c r="AT225" i="12"/>
  <c r="AU225" i="12" s="1"/>
  <c r="AO225" i="12"/>
  <c r="AP225" i="12" s="1"/>
  <c r="AJ225" i="12"/>
  <c r="AK225" i="12" s="1"/>
  <c r="AE225" i="12"/>
  <c r="AF225" i="12" s="1"/>
  <c r="Z225" i="12"/>
  <c r="AA225" i="12" s="1"/>
  <c r="AY224" i="12"/>
  <c r="AZ224" i="12" s="1"/>
  <c r="AT224" i="12"/>
  <c r="AU224" i="12" s="1"/>
  <c r="AO224" i="12"/>
  <c r="AP224" i="12" s="1"/>
  <c r="AJ224" i="12"/>
  <c r="AK224" i="12" s="1"/>
  <c r="AE224" i="12"/>
  <c r="AF224" i="12" s="1"/>
  <c r="Z224" i="12"/>
  <c r="AA224" i="12" s="1"/>
  <c r="I224" i="12"/>
  <c r="L222" i="12"/>
  <c r="M219" i="12" s="1"/>
  <c r="H222" i="12"/>
  <c r="AY221" i="12"/>
  <c r="AZ221" i="12" s="1"/>
  <c r="AT221" i="12"/>
  <c r="AU221" i="12" s="1"/>
  <c r="AO221" i="12"/>
  <c r="AP221" i="12" s="1"/>
  <c r="AJ221" i="12"/>
  <c r="AK221" i="12" s="1"/>
  <c r="AE221" i="12"/>
  <c r="AF221" i="12" s="1"/>
  <c r="Z221" i="12"/>
  <c r="AA221" i="12" s="1"/>
  <c r="I221" i="12"/>
  <c r="I222" i="12" s="1"/>
  <c r="J219" i="12" s="1"/>
  <c r="AY220" i="12"/>
  <c r="AZ220" i="12" s="1"/>
  <c r="AT220" i="12"/>
  <c r="AU220" i="12" s="1"/>
  <c r="AO220" i="12"/>
  <c r="AP220" i="12" s="1"/>
  <c r="AJ220" i="12"/>
  <c r="AK220" i="12" s="1"/>
  <c r="AE220" i="12"/>
  <c r="AF220" i="12" s="1"/>
  <c r="Z220" i="12"/>
  <c r="AA220" i="12" s="1"/>
  <c r="AY219" i="12"/>
  <c r="AZ219" i="12" s="1"/>
  <c r="AT219" i="12"/>
  <c r="AU219" i="12" s="1"/>
  <c r="AO219" i="12"/>
  <c r="AP219" i="12" s="1"/>
  <c r="AJ219" i="12"/>
  <c r="AK219" i="12" s="1"/>
  <c r="AE219" i="12"/>
  <c r="AF219" i="12" s="1"/>
  <c r="Z219" i="12"/>
  <c r="AA219" i="12" s="1"/>
  <c r="L218" i="12"/>
  <c r="M215" i="12" s="1"/>
  <c r="H218" i="12"/>
  <c r="AY217" i="12"/>
  <c r="AZ217" i="12" s="1"/>
  <c r="AT217" i="12"/>
  <c r="AU217" i="12" s="1"/>
  <c r="AO217" i="12"/>
  <c r="AP217" i="12" s="1"/>
  <c r="AJ217" i="12"/>
  <c r="AK217" i="12" s="1"/>
  <c r="AE217" i="12"/>
  <c r="AF217" i="12" s="1"/>
  <c r="Z217" i="12"/>
  <c r="AA217" i="12" s="1"/>
  <c r="I217" i="12"/>
  <c r="AY216" i="12"/>
  <c r="AZ216" i="12" s="1"/>
  <c r="AT216" i="12"/>
  <c r="AU216" i="12" s="1"/>
  <c r="AO216" i="12"/>
  <c r="AP216" i="12" s="1"/>
  <c r="AJ216" i="12"/>
  <c r="AK216" i="12" s="1"/>
  <c r="AE216" i="12"/>
  <c r="AF216" i="12" s="1"/>
  <c r="Z216" i="12"/>
  <c r="AA216" i="12" s="1"/>
  <c r="AY215" i="12"/>
  <c r="AZ215" i="12" s="1"/>
  <c r="AT215" i="12"/>
  <c r="AU215" i="12" s="1"/>
  <c r="AO215" i="12"/>
  <c r="AP215" i="12" s="1"/>
  <c r="AJ215" i="12"/>
  <c r="AK215" i="12" s="1"/>
  <c r="AE215" i="12"/>
  <c r="AF215" i="12" s="1"/>
  <c r="Z215" i="12"/>
  <c r="AA215" i="12" s="1"/>
  <c r="I215" i="12"/>
  <c r="L213" i="12"/>
  <c r="M212" i="12" s="1"/>
  <c r="I213" i="12"/>
  <c r="J212" i="12" s="1"/>
  <c r="AY212" i="12"/>
  <c r="AZ212" i="12" s="1"/>
  <c r="AT212" i="12"/>
  <c r="AU212" i="12" s="1"/>
  <c r="AO212" i="12"/>
  <c r="AP212" i="12" s="1"/>
  <c r="AJ212" i="12"/>
  <c r="AK212" i="12" s="1"/>
  <c r="AE212" i="12"/>
  <c r="AF212" i="12" s="1"/>
  <c r="Z212" i="12"/>
  <c r="AA212" i="12" s="1"/>
  <c r="L210" i="12"/>
  <c r="M209" i="12" s="1"/>
  <c r="H210" i="12"/>
  <c r="AY209" i="12"/>
  <c r="AZ209" i="12" s="1"/>
  <c r="AT209" i="12"/>
  <c r="AU209" i="12" s="1"/>
  <c r="AO209" i="12"/>
  <c r="AP209" i="12" s="1"/>
  <c r="AJ209" i="12"/>
  <c r="AK209" i="12" s="1"/>
  <c r="AE209" i="12"/>
  <c r="AF209" i="12" s="1"/>
  <c r="Z209" i="12"/>
  <c r="AA209" i="12" s="1"/>
  <c r="I209" i="12"/>
  <c r="I210" i="12" s="1"/>
  <c r="J209" i="12" s="1"/>
  <c r="L207" i="12"/>
  <c r="M202" i="12" s="1"/>
  <c r="H207" i="12"/>
  <c r="AY206" i="12"/>
  <c r="AZ206" i="12" s="1"/>
  <c r="AT206" i="12"/>
  <c r="AU206" i="12" s="1"/>
  <c r="AO206" i="12"/>
  <c r="AP206" i="12" s="1"/>
  <c r="AJ206" i="12"/>
  <c r="AK206" i="12" s="1"/>
  <c r="AE206" i="12"/>
  <c r="AF206" i="12" s="1"/>
  <c r="Z206" i="12"/>
  <c r="AA206" i="12" s="1"/>
  <c r="I206" i="12"/>
  <c r="AY205" i="12"/>
  <c r="AZ205" i="12" s="1"/>
  <c r="AT205" i="12"/>
  <c r="AU205" i="12" s="1"/>
  <c r="AO205" i="12"/>
  <c r="AP205" i="12" s="1"/>
  <c r="AJ205" i="12"/>
  <c r="AK205" i="12" s="1"/>
  <c r="AE205" i="12"/>
  <c r="AF205" i="12" s="1"/>
  <c r="Z205" i="12"/>
  <c r="AA205" i="12" s="1"/>
  <c r="I205" i="12"/>
  <c r="AY204" i="12"/>
  <c r="AZ204" i="12" s="1"/>
  <c r="AT204" i="12"/>
  <c r="AU204" i="12" s="1"/>
  <c r="AO204" i="12"/>
  <c r="AP204" i="12" s="1"/>
  <c r="AJ204" i="12"/>
  <c r="AK204" i="12" s="1"/>
  <c r="AE204" i="12"/>
  <c r="AF204" i="12" s="1"/>
  <c r="Z204" i="12"/>
  <c r="AA204" i="12" s="1"/>
  <c r="I204" i="12"/>
  <c r="AY203" i="12"/>
  <c r="AZ203" i="12" s="1"/>
  <c r="AT203" i="12"/>
  <c r="AU203" i="12" s="1"/>
  <c r="AO203" i="12"/>
  <c r="AP203" i="12" s="1"/>
  <c r="AJ203" i="12"/>
  <c r="AK203" i="12" s="1"/>
  <c r="AE203" i="12"/>
  <c r="AF203" i="12" s="1"/>
  <c r="Z203" i="12"/>
  <c r="AA203" i="12" s="1"/>
  <c r="I203" i="12"/>
  <c r="AY202" i="12"/>
  <c r="AZ202" i="12" s="1"/>
  <c r="AT202" i="12"/>
  <c r="AU202" i="12" s="1"/>
  <c r="AO202" i="12"/>
  <c r="AP202" i="12" s="1"/>
  <c r="AJ202" i="12"/>
  <c r="AK202" i="12" s="1"/>
  <c r="AE202" i="12"/>
  <c r="AF202" i="12" s="1"/>
  <c r="Z202" i="12"/>
  <c r="AA202" i="12" s="1"/>
  <c r="I202" i="12"/>
  <c r="I200" i="12"/>
  <c r="J198" i="12" s="1"/>
  <c r="H200" i="12"/>
  <c r="L196" i="12"/>
  <c r="M193" i="12" s="1"/>
  <c r="I196" i="12"/>
  <c r="J193" i="12" s="1"/>
  <c r="H196" i="12"/>
  <c r="AY195" i="12"/>
  <c r="AZ195" i="12" s="1"/>
  <c r="AT195" i="12"/>
  <c r="AU195" i="12" s="1"/>
  <c r="AO195" i="12"/>
  <c r="AP195" i="12" s="1"/>
  <c r="AJ195" i="12"/>
  <c r="AK195" i="12" s="1"/>
  <c r="AE195" i="12"/>
  <c r="AF195" i="12" s="1"/>
  <c r="Z195" i="12"/>
  <c r="AA195" i="12" s="1"/>
  <c r="AY194" i="12"/>
  <c r="AZ194" i="12" s="1"/>
  <c r="AT194" i="12"/>
  <c r="AU194" i="12" s="1"/>
  <c r="AO194" i="12"/>
  <c r="AP194" i="12" s="1"/>
  <c r="AJ194" i="12"/>
  <c r="AK194" i="12" s="1"/>
  <c r="AE194" i="12"/>
  <c r="AF194" i="12" s="1"/>
  <c r="Z194" i="12"/>
  <c r="AA194" i="12" s="1"/>
  <c r="AY193" i="12"/>
  <c r="AZ193" i="12" s="1"/>
  <c r="AT193" i="12"/>
  <c r="AU193" i="12" s="1"/>
  <c r="AO193" i="12"/>
  <c r="AP193" i="12" s="1"/>
  <c r="AJ193" i="12"/>
  <c r="AK193" i="12" s="1"/>
  <c r="AE193" i="12"/>
  <c r="AF193" i="12" s="1"/>
  <c r="Z193" i="12"/>
  <c r="AA193" i="12" s="1"/>
  <c r="L191" i="12"/>
  <c r="M189" i="12" s="1"/>
  <c r="I191" i="12"/>
  <c r="J189" i="12" s="1"/>
  <c r="H191" i="12"/>
  <c r="AY190" i="12"/>
  <c r="AZ190" i="12" s="1"/>
  <c r="AT190" i="12"/>
  <c r="AU190" i="12" s="1"/>
  <c r="AO190" i="12"/>
  <c r="AP190" i="12" s="1"/>
  <c r="AJ190" i="12"/>
  <c r="AK190" i="12" s="1"/>
  <c r="AE190" i="12"/>
  <c r="AF190" i="12" s="1"/>
  <c r="Z190" i="12"/>
  <c r="AA190" i="12" s="1"/>
  <c r="AY189" i="12"/>
  <c r="AZ189" i="12" s="1"/>
  <c r="AT189" i="12"/>
  <c r="AU189" i="12" s="1"/>
  <c r="AO189" i="12"/>
  <c r="AP189" i="12" s="1"/>
  <c r="AJ189" i="12"/>
  <c r="AK189" i="12" s="1"/>
  <c r="AE189" i="12"/>
  <c r="AF189" i="12" s="1"/>
  <c r="Z189" i="12"/>
  <c r="AA189" i="12" s="1"/>
  <c r="L188" i="12"/>
  <c r="M186" i="12" s="1"/>
  <c r="H188" i="12"/>
  <c r="AY187" i="12"/>
  <c r="AZ187" i="12" s="1"/>
  <c r="AT187" i="12"/>
  <c r="AU187" i="12" s="1"/>
  <c r="AO187" i="12"/>
  <c r="AP187" i="12" s="1"/>
  <c r="AJ187" i="12"/>
  <c r="AK187" i="12" s="1"/>
  <c r="AE187" i="12"/>
  <c r="AF187" i="12" s="1"/>
  <c r="Z187" i="12"/>
  <c r="AA187" i="12" s="1"/>
  <c r="AY186" i="12"/>
  <c r="AZ186" i="12" s="1"/>
  <c r="AT186" i="12"/>
  <c r="AU186" i="12" s="1"/>
  <c r="AO186" i="12"/>
  <c r="AP186" i="12" s="1"/>
  <c r="AJ186" i="12"/>
  <c r="AK186" i="12" s="1"/>
  <c r="AE186" i="12"/>
  <c r="AF186" i="12" s="1"/>
  <c r="Z186" i="12"/>
  <c r="AA186" i="12" s="1"/>
  <c r="I186" i="12"/>
  <c r="I188" i="12" s="1"/>
  <c r="J186" i="12" s="1"/>
  <c r="L184" i="12"/>
  <c r="M181" i="12" s="1"/>
  <c r="H184" i="12"/>
  <c r="AY183" i="12"/>
  <c r="AZ183" i="12" s="1"/>
  <c r="AT183" i="12"/>
  <c r="AU183" i="12" s="1"/>
  <c r="AO183" i="12"/>
  <c r="AP183" i="12" s="1"/>
  <c r="AJ183" i="12"/>
  <c r="AK183" i="12" s="1"/>
  <c r="AE183" i="12"/>
  <c r="AF183" i="12" s="1"/>
  <c r="Z183" i="12"/>
  <c r="AA183" i="12" s="1"/>
  <c r="I183" i="12"/>
  <c r="AY182" i="12"/>
  <c r="AZ182" i="12" s="1"/>
  <c r="AT182" i="12"/>
  <c r="AU182" i="12" s="1"/>
  <c r="AO182" i="12"/>
  <c r="AP182" i="12" s="1"/>
  <c r="AJ182" i="12"/>
  <c r="AK182" i="12" s="1"/>
  <c r="AE182" i="12"/>
  <c r="AF182" i="12" s="1"/>
  <c r="Z182" i="12"/>
  <c r="AA182" i="12" s="1"/>
  <c r="I182" i="12"/>
  <c r="AY181" i="12"/>
  <c r="AZ181" i="12" s="1"/>
  <c r="AT181" i="12"/>
  <c r="AU181" i="12" s="1"/>
  <c r="AO181" i="12"/>
  <c r="AP181" i="12" s="1"/>
  <c r="AJ181" i="12"/>
  <c r="AK181" i="12" s="1"/>
  <c r="AE181" i="12"/>
  <c r="AF181" i="12" s="1"/>
  <c r="Z181" i="12"/>
  <c r="AA181" i="12" s="1"/>
  <c r="I181" i="12"/>
  <c r="L179" i="12"/>
  <c r="M177" i="12" s="1"/>
  <c r="H179" i="12"/>
  <c r="AY178" i="12"/>
  <c r="AZ178" i="12" s="1"/>
  <c r="AT178" i="12"/>
  <c r="AU178" i="12" s="1"/>
  <c r="AO178" i="12"/>
  <c r="AP178" i="12" s="1"/>
  <c r="AJ178" i="12"/>
  <c r="AK178" i="12" s="1"/>
  <c r="AE178" i="12"/>
  <c r="AF178" i="12" s="1"/>
  <c r="Z178" i="12"/>
  <c r="AA178" i="12" s="1"/>
  <c r="I178" i="12"/>
  <c r="AY177" i="12"/>
  <c r="AZ177" i="12" s="1"/>
  <c r="AT177" i="12"/>
  <c r="AU177" i="12" s="1"/>
  <c r="AO177" i="12"/>
  <c r="AP177" i="12" s="1"/>
  <c r="AJ177" i="12"/>
  <c r="AK177" i="12" s="1"/>
  <c r="AE177" i="12"/>
  <c r="AF177" i="12" s="1"/>
  <c r="Z177" i="12"/>
  <c r="AA177" i="12" s="1"/>
  <c r="I177" i="12"/>
  <c r="L175" i="12"/>
  <c r="H175" i="12"/>
  <c r="AY174" i="12"/>
  <c r="AZ174" i="12" s="1"/>
  <c r="AT174" i="12"/>
  <c r="AU174" i="12" s="1"/>
  <c r="AO174" i="12"/>
  <c r="AP174" i="12" s="1"/>
  <c r="AJ174" i="12"/>
  <c r="AK174" i="12" s="1"/>
  <c r="AE174" i="12"/>
  <c r="AF174" i="12" s="1"/>
  <c r="Z174" i="12"/>
  <c r="AA174" i="12" s="1"/>
  <c r="M174" i="12"/>
  <c r="I174" i="12"/>
  <c r="I175" i="12" s="1"/>
  <c r="J174" i="12" s="1"/>
  <c r="L173" i="12"/>
  <c r="M171" i="12" s="1"/>
  <c r="H173" i="12"/>
  <c r="AY172" i="12"/>
  <c r="AZ172" i="12" s="1"/>
  <c r="AT172" i="12"/>
  <c r="AU172" i="12" s="1"/>
  <c r="AO172" i="12"/>
  <c r="AP172" i="12" s="1"/>
  <c r="AJ172" i="12"/>
  <c r="AK172" i="12" s="1"/>
  <c r="AE172" i="12"/>
  <c r="AF172" i="12" s="1"/>
  <c r="Z172" i="12"/>
  <c r="AA172" i="12" s="1"/>
  <c r="I172" i="12"/>
  <c r="I173" i="12" s="1"/>
  <c r="J171" i="12" s="1"/>
  <c r="AY171" i="12"/>
  <c r="AZ171" i="12" s="1"/>
  <c r="AT171" i="12"/>
  <c r="AU171" i="12" s="1"/>
  <c r="AO171" i="12"/>
  <c r="AP171" i="12" s="1"/>
  <c r="AJ171" i="12"/>
  <c r="AK171" i="12" s="1"/>
  <c r="AE171" i="12"/>
  <c r="AF171" i="12" s="1"/>
  <c r="Z171" i="12"/>
  <c r="AA171" i="12" s="1"/>
  <c r="L169" i="12"/>
  <c r="H169" i="12"/>
  <c r="AY168" i="12"/>
  <c r="AZ168" i="12" s="1"/>
  <c r="AT168" i="12"/>
  <c r="AU168" i="12" s="1"/>
  <c r="AO168" i="12"/>
  <c r="AP168" i="12" s="1"/>
  <c r="AJ168" i="12"/>
  <c r="AK168" i="12" s="1"/>
  <c r="AE168" i="12"/>
  <c r="AF168" i="12" s="1"/>
  <c r="Z168" i="12"/>
  <c r="AA168" i="12" s="1"/>
  <c r="M168" i="12"/>
  <c r="I168" i="12"/>
  <c r="I169" i="12" s="1"/>
  <c r="J168" i="12" s="1"/>
  <c r="L166" i="12"/>
  <c r="M165" i="12" s="1"/>
  <c r="H166" i="12"/>
  <c r="AY165" i="12"/>
  <c r="AZ165" i="12" s="1"/>
  <c r="AT165" i="12"/>
  <c r="AU165" i="12" s="1"/>
  <c r="AO165" i="12"/>
  <c r="AP165" i="12" s="1"/>
  <c r="AJ165" i="12"/>
  <c r="AK165" i="12" s="1"/>
  <c r="AE165" i="12"/>
  <c r="AF165" i="12" s="1"/>
  <c r="Z165" i="12"/>
  <c r="AA165" i="12" s="1"/>
  <c r="I165" i="12"/>
  <c r="I166" i="12" s="1"/>
  <c r="J165" i="12" s="1"/>
  <c r="L163" i="12"/>
  <c r="M160" i="12" s="1"/>
  <c r="H163" i="12"/>
  <c r="AY162" i="12"/>
  <c r="AZ162" i="12" s="1"/>
  <c r="AT162" i="12"/>
  <c r="AU162" i="12" s="1"/>
  <c r="AO162" i="12"/>
  <c r="AP162" i="12" s="1"/>
  <c r="AJ162" i="12"/>
  <c r="AK162" i="12" s="1"/>
  <c r="AE162" i="12"/>
  <c r="AF162" i="12" s="1"/>
  <c r="Z162" i="12"/>
  <c r="AA162" i="12" s="1"/>
  <c r="I162" i="12"/>
  <c r="AY161" i="12"/>
  <c r="AZ161" i="12" s="1"/>
  <c r="AT161" i="12"/>
  <c r="AU161" i="12" s="1"/>
  <c r="AO161" i="12"/>
  <c r="AP161" i="12" s="1"/>
  <c r="AJ161" i="12"/>
  <c r="AK161" i="12" s="1"/>
  <c r="AE161" i="12"/>
  <c r="AF161" i="12" s="1"/>
  <c r="Z161" i="12"/>
  <c r="AA161" i="12" s="1"/>
  <c r="I161" i="12"/>
  <c r="AY160" i="12"/>
  <c r="AZ160" i="12" s="1"/>
  <c r="AT160" i="12"/>
  <c r="AU160" i="12" s="1"/>
  <c r="AO160" i="12"/>
  <c r="AP160" i="12" s="1"/>
  <c r="AJ160" i="12"/>
  <c r="AK160" i="12" s="1"/>
  <c r="AE160" i="12"/>
  <c r="AF160" i="12" s="1"/>
  <c r="Z160" i="12"/>
  <c r="AA160" i="12" s="1"/>
  <c r="I160" i="12"/>
  <c r="L158" i="12"/>
  <c r="H158" i="12"/>
  <c r="AY157" i="12"/>
  <c r="AZ157" i="12" s="1"/>
  <c r="AT157" i="12"/>
  <c r="AU157" i="12" s="1"/>
  <c r="AO157" i="12"/>
  <c r="AP157" i="12" s="1"/>
  <c r="AJ157" i="12"/>
  <c r="AK157" i="12" s="1"/>
  <c r="AE157" i="12"/>
  <c r="AF157" i="12" s="1"/>
  <c r="Z157" i="12"/>
  <c r="AA157" i="12" s="1"/>
  <c r="M157" i="12"/>
  <c r="I157" i="12"/>
  <c r="I158" i="12" s="1"/>
  <c r="J157" i="12" s="1"/>
  <c r="L156" i="12"/>
  <c r="M153" i="12" s="1"/>
  <c r="H156" i="12"/>
  <c r="AY155" i="12"/>
  <c r="AZ155" i="12" s="1"/>
  <c r="AT155" i="12"/>
  <c r="AU155" i="12" s="1"/>
  <c r="AO155" i="12"/>
  <c r="AP155" i="12" s="1"/>
  <c r="AJ155" i="12"/>
  <c r="AK155" i="12" s="1"/>
  <c r="AE155" i="12"/>
  <c r="AF155" i="12" s="1"/>
  <c r="Z155" i="12"/>
  <c r="AA155" i="12" s="1"/>
  <c r="I155" i="12"/>
  <c r="AY154" i="12"/>
  <c r="AZ154" i="12" s="1"/>
  <c r="AT154" i="12"/>
  <c r="AU154" i="12" s="1"/>
  <c r="AO154" i="12"/>
  <c r="AP154" i="12" s="1"/>
  <c r="AJ154" i="12"/>
  <c r="AK154" i="12" s="1"/>
  <c r="AE154" i="12"/>
  <c r="AF154" i="12" s="1"/>
  <c r="Z154" i="12"/>
  <c r="AA154" i="12" s="1"/>
  <c r="I154" i="12"/>
  <c r="AY153" i="12"/>
  <c r="AZ153" i="12" s="1"/>
  <c r="AT153" i="12"/>
  <c r="AU153" i="12" s="1"/>
  <c r="AO153" i="12"/>
  <c r="AP153" i="12" s="1"/>
  <c r="AJ153" i="12"/>
  <c r="AK153" i="12" s="1"/>
  <c r="AE153" i="12"/>
  <c r="AF153" i="12" s="1"/>
  <c r="Z153" i="12"/>
  <c r="AA153" i="12" s="1"/>
  <c r="I153" i="12"/>
  <c r="L151" i="12"/>
  <c r="H151" i="12"/>
  <c r="AY150" i="12"/>
  <c r="AZ150" i="12" s="1"/>
  <c r="AT150" i="12"/>
  <c r="AU150" i="12" s="1"/>
  <c r="AO150" i="12"/>
  <c r="AP150" i="12" s="1"/>
  <c r="AJ150" i="12"/>
  <c r="AK150" i="12" s="1"/>
  <c r="AE150" i="12"/>
  <c r="AF150" i="12" s="1"/>
  <c r="Z150" i="12"/>
  <c r="AA150" i="12" s="1"/>
  <c r="M150" i="12"/>
  <c r="I150" i="12"/>
  <c r="I151" i="12" s="1"/>
  <c r="J150" i="12" s="1"/>
  <c r="L149" i="12"/>
  <c r="M146" i="12" s="1"/>
  <c r="H149" i="12"/>
  <c r="AY148" i="12"/>
  <c r="AZ148" i="12" s="1"/>
  <c r="AT148" i="12"/>
  <c r="AU148" i="12" s="1"/>
  <c r="AO148" i="12"/>
  <c r="AP148" i="12" s="1"/>
  <c r="AJ148" i="12"/>
  <c r="AK148" i="12" s="1"/>
  <c r="AE148" i="12"/>
  <c r="AF148" i="12" s="1"/>
  <c r="Z148" i="12"/>
  <c r="AA148" i="12" s="1"/>
  <c r="I148" i="12"/>
  <c r="AY147" i="12"/>
  <c r="AZ147" i="12" s="1"/>
  <c r="AT147" i="12"/>
  <c r="AU147" i="12" s="1"/>
  <c r="AO147" i="12"/>
  <c r="AP147" i="12" s="1"/>
  <c r="AJ147" i="12"/>
  <c r="AK147" i="12" s="1"/>
  <c r="AE147" i="12"/>
  <c r="AF147" i="12" s="1"/>
  <c r="Z147" i="12"/>
  <c r="AA147" i="12" s="1"/>
  <c r="I147" i="12"/>
  <c r="AY146" i="12"/>
  <c r="AZ146" i="12" s="1"/>
  <c r="AT146" i="12"/>
  <c r="AU146" i="12" s="1"/>
  <c r="AO146" i="12"/>
  <c r="AP146" i="12" s="1"/>
  <c r="AJ146" i="12"/>
  <c r="AK146" i="12" s="1"/>
  <c r="AE146" i="12"/>
  <c r="AF146" i="12" s="1"/>
  <c r="Z146" i="12"/>
  <c r="AA146" i="12" s="1"/>
  <c r="I146" i="12"/>
  <c r="I143" i="12"/>
  <c r="J142" i="12"/>
  <c r="I142" i="12"/>
  <c r="L141" i="12"/>
  <c r="M135" i="12" s="1"/>
  <c r="AY140" i="12"/>
  <c r="AZ140" i="12" s="1"/>
  <c r="AT140" i="12"/>
  <c r="AU140" i="12" s="1"/>
  <c r="AO140" i="12"/>
  <c r="AP140" i="12" s="1"/>
  <c r="AJ140" i="12"/>
  <c r="AK140" i="12" s="1"/>
  <c r="AE140" i="12"/>
  <c r="AF140" i="12" s="1"/>
  <c r="Z140" i="12"/>
  <c r="AA140" i="12" s="1"/>
  <c r="AY139" i="12"/>
  <c r="AZ139" i="12" s="1"/>
  <c r="AT139" i="12"/>
  <c r="AU139" i="12" s="1"/>
  <c r="AO139" i="12"/>
  <c r="AP139" i="12" s="1"/>
  <c r="AJ139" i="12"/>
  <c r="AK139" i="12" s="1"/>
  <c r="AE139" i="12"/>
  <c r="AF139" i="12" s="1"/>
  <c r="Z139" i="12"/>
  <c r="AA139" i="12" s="1"/>
  <c r="AY138" i="12"/>
  <c r="AZ138" i="12" s="1"/>
  <c r="AT138" i="12"/>
  <c r="AU138" i="12" s="1"/>
  <c r="AO138" i="12"/>
  <c r="AP138" i="12" s="1"/>
  <c r="AJ138" i="12"/>
  <c r="AK138" i="12" s="1"/>
  <c r="AE138" i="12"/>
  <c r="AF138" i="12" s="1"/>
  <c r="Z138" i="12"/>
  <c r="AA138" i="12" s="1"/>
  <c r="AY137" i="12"/>
  <c r="AZ137" i="12" s="1"/>
  <c r="AT137" i="12"/>
  <c r="AU137" i="12" s="1"/>
  <c r="AO137" i="12"/>
  <c r="AP137" i="12" s="1"/>
  <c r="AJ137" i="12"/>
  <c r="AK137" i="12" s="1"/>
  <c r="AE137" i="12"/>
  <c r="AF137" i="12" s="1"/>
  <c r="Z137" i="12"/>
  <c r="AA137" i="12" s="1"/>
  <c r="I137" i="12"/>
  <c r="AY136" i="12"/>
  <c r="AZ136" i="12" s="1"/>
  <c r="AT136" i="12"/>
  <c r="AU136" i="12" s="1"/>
  <c r="AO136" i="12"/>
  <c r="AP136" i="12" s="1"/>
  <c r="AJ136" i="12"/>
  <c r="AK136" i="12" s="1"/>
  <c r="AE136" i="12"/>
  <c r="AF136" i="12" s="1"/>
  <c r="Z136" i="12"/>
  <c r="AA136" i="12" s="1"/>
  <c r="AY135" i="12"/>
  <c r="AZ135" i="12" s="1"/>
  <c r="AT135" i="12"/>
  <c r="AU135" i="12" s="1"/>
  <c r="AO135" i="12"/>
  <c r="AP135" i="12" s="1"/>
  <c r="AJ135" i="12"/>
  <c r="AK135" i="12" s="1"/>
  <c r="AE135" i="12"/>
  <c r="AF135" i="12" s="1"/>
  <c r="Z135" i="12"/>
  <c r="AA135" i="12" s="1"/>
  <c r="I135" i="12"/>
  <c r="L133" i="12"/>
  <c r="M122" i="12" s="1"/>
  <c r="H133" i="12"/>
  <c r="AY129" i="12"/>
  <c r="AZ129" i="12" s="1"/>
  <c r="AT129" i="12"/>
  <c r="AU129" i="12" s="1"/>
  <c r="AO129" i="12"/>
  <c r="AP129" i="12" s="1"/>
  <c r="AJ129" i="12"/>
  <c r="AK129" i="12" s="1"/>
  <c r="AE129" i="12"/>
  <c r="AF129" i="12" s="1"/>
  <c r="Z129" i="12"/>
  <c r="AA129" i="12" s="1"/>
  <c r="AY128" i="12"/>
  <c r="AZ128" i="12" s="1"/>
  <c r="AT128" i="12"/>
  <c r="AU128" i="12" s="1"/>
  <c r="AO128" i="12"/>
  <c r="AP128" i="12" s="1"/>
  <c r="AJ128" i="12"/>
  <c r="AK128" i="12" s="1"/>
  <c r="AE128" i="12"/>
  <c r="AF128" i="12" s="1"/>
  <c r="Z128" i="12"/>
  <c r="AA128" i="12" s="1"/>
  <c r="AY127" i="12"/>
  <c r="AZ127" i="12" s="1"/>
  <c r="AT127" i="12"/>
  <c r="AU127" i="12" s="1"/>
  <c r="AO127" i="12"/>
  <c r="AP127" i="12" s="1"/>
  <c r="AJ127" i="12"/>
  <c r="AK127" i="12" s="1"/>
  <c r="AE127" i="12"/>
  <c r="AF127" i="12" s="1"/>
  <c r="Z127" i="12"/>
  <c r="AA127" i="12" s="1"/>
  <c r="AY126" i="12"/>
  <c r="AZ126" i="12" s="1"/>
  <c r="AT126" i="12"/>
  <c r="AU126" i="12" s="1"/>
  <c r="AO126" i="12"/>
  <c r="AP126" i="12" s="1"/>
  <c r="AJ126" i="12"/>
  <c r="AK126" i="12" s="1"/>
  <c r="AE126" i="12"/>
  <c r="AF126" i="12" s="1"/>
  <c r="Z126" i="12"/>
  <c r="AA126" i="12" s="1"/>
  <c r="I126" i="12"/>
  <c r="I133" i="12" s="1"/>
  <c r="J122" i="12" s="1"/>
  <c r="AY125" i="12"/>
  <c r="AZ125" i="12" s="1"/>
  <c r="AT125" i="12"/>
  <c r="AU125" i="12" s="1"/>
  <c r="AO125" i="12"/>
  <c r="AP125" i="12" s="1"/>
  <c r="AJ125" i="12"/>
  <c r="AK125" i="12" s="1"/>
  <c r="AE125" i="12"/>
  <c r="AF125" i="12" s="1"/>
  <c r="Z125" i="12"/>
  <c r="AA125" i="12" s="1"/>
  <c r="AY124" i="12"/>
  <c r="AZ124" i="12" s="1"/>
  <c r="AT124" i="12"/>
  <c r="AU124" i="12" s="1"/>
  <c r="AO124" i="12"/>
  <c r="AP124" i="12" s="1"/>
  <c r="AJ124" i="12"/>
  <c r="AK124" i="12" s="1"/>
  <c r="AE124" i="12"/>
  <c r="AF124" i="12" s="1"/>
  <c r="Z124" i="12"/>
  <c r="AA124" i="12" s="1"/>
  <c r="AY123" i="12"/>
  <c r="AZ123" i="12" s="1"/>
  <c r="AT123" i="12"/>
  <c r="AU123" i="12" s="1"/>
  <c r="AO123" i="12"/>
  <c r="AP123" i="12" s="1"/>
  <c r="AJ123" i="12"/>
  <c r="AK123" i="12" s="1"/>
  <c r="AE123" i="12"/>
  <c r="AF123" i="12" s="1"/>
  <c r="Z123" i="12"/>
  <c r="AA123" i="12" s="1"/>
  <c r="AY122" i="12"/>
  <c r="AZ122" i="12" s="1"/>
  <c r="AT122" i="12"/>
  <c r="AU122" i="12" s="1"/>
  <c r="AO122" i="12"/>
  <c r="AP122" i="12" s="1"/>
  <c r="AJ122" i="12"/>
  <c r="AK122" i="12" s="1"/>
  <c r="AE122" i="12"/>
  <c r="AF122" i="12" s="1"/>
  <c r="Z122" i="12"/>
  <c r="AA122" i="12" s="1"/>
  <c r="L121" i="12"/>
  <c r="M108" i="12" s="1"/>
  <c r="H121" i="12"/>
  <c r="AY117" i="12"/>
  <c r="AZ117" i="12" s="1"/>
  <c r="AT117" i="12"/>
  <c r="AU117" i="12" s="1"/>
  <c r="AO117" i="12"/>
  <c r="AP117" i="12" s="1"/>
  <c r="AJ117" i="12"/>
  <c r="AK117" i="12" s="1"/>
  <c r="AE117" i="12"/>
  <c r="AF117" i="12" s="1"/>
  <c r="Z117" i="12"/>
  <c r="AA117" i="12" s="1"/>
  <c r="AY116" i="12"/>
  <c r="AZ116" i="12" s="1"/>
  <c r="AT116" i="12"/>
  <c r="AU116" i="12" s="1"/>
  <c r="AO116" i="12"/>
  <c r="AP116" i="12" s="1"/>
  <c r="AJ116" i="12"/>
  <c r="AK116" i="12" s="1"/>
  <c r="AE116" i="12"/>
  <c r="AF116" i="12" s="1"/>
  <c r="Z116" i="12"/>
  <c r="AA116" i="12" s="1"/>
  <c r="AY115" i="12"/>
  <c r="AZ115" i="12" s="1"/>
  <c r="AT115" i="12"/>
  <c r="AU115" i="12" s="1"/>
  <c r="AO115" i="12"/>
  <c r="AP115" i="12" s="1"/>
  <c r="AJ115" i="12"/>
  <c r="AK115" i="12" s="1"/>
  <c r="AE115" i="12"/>
  <c r="AF115" i="12" s="1"/>
  <c r="Z115" i="12"/>
  <c r="AA115" i="12" s="1"/>
  <c r="I115" i="12"/>
  <c r="AY114" i="12"/>
  <c r="AZ114" i="12" s="1"/>
  <c r="AT114" i="12"/>
  <c r="AU114" i="12" s="1"/>
  <c r="AO114" i="12"/>
  <c r="AP114" i="12" s="1"/>
  <c r="AJ114" i="12"/>
  <c r="AK114" i="12" s="1"/>
  <c r="AE114" i="12"/>
  <c r="AF114" i="12" s="1"/>
  <c r="Z114" i="12"/>
  <c r="AA114" i="12" s="1"/>
  <c r="I114" i="12"/>
  <c r="AY113" i="12"/>
  <c r="AZ113" i="12" s="1"/>
  <c r="AT113" i="12"/>
  <c r="AU113" i="12" s="1"/>
  <c r="AO113" i="12"/>
  <c r="AP113" i="12" s="1"/>
  <c r="AJ113" i="12"/>
  <c r="AK113" i="12" s="1"/>
  <c r="AE113" i="12"/>
  <c r="AF113" i="12" s="1"/>
  <c r="Z113" i="12"/>
  <c r="AA113" i="12" s="1"/>
  <c r="I113" i="12"/>
  <c r="AY112" i="12"/>
  <c r="AZ112" i="12" s="1"/>
  <c r="AT112" i="12"/>
  <c r="AU112" i="12" s="1"/>
  <c r="AO112" i="12"/>
  <c r="AP112" i="12" s="1"/>
  <c r="AJ112" i="12"/>
  <c r="AK112" i="12" s="1"/>
  <c r="AE112" i="12"/>
  <c r="AF112" i="12" s="1"/>
  <c r="Z112" i="12"/>
  <c r="AA112" i="12" s="1"/>
  <c r="I112" i="12"/>
  <c r="AY111" i="12"/>
  <c r="AZ111" i="12" s="1"/>
  <c r="AT111" i="12"/>
  <c r="AU111" i="12" s="1"/>
  <c r="AO111" i="12"/>
  <c r="AP111" i="12" s="1"/>
  <c r="AJ111" i="12"/>
  <c r="AK111" i="12" s="1"/>
  <c r="AE111" i="12"/>
  <c r="AF111" i="12" s="1"/>
  <c r="Z111" i="12"/>
  <c r="AA111" i="12" s="1"/>
  <c r="AY110" i="12"/>
  <c r="AZ110" i="12" s="1"/>
  <c r="AT110" i="12"/>
  <c r="AU110" i="12" s="1"/>
  <c r="AO110" i="12"/>
  <c r="AP110" i="12" s="1"/>
  <c r="AJ110" i="12"/>
  <c r="AK110" i="12" s="1"/>
  <c r="AE110" i="12"/>
  <c r="AF110" i="12" s="1"/>
  <c r="Z110" i="12"/>
  <c r="AA110" i="12" s="1"/>
  <c r="AY109" i="12"/>
  <c r="AZ109" i="12" s="1"/>
  <c r="AT109" i="12"/>
  <c r="AU109" i="12" s="1"/>
  <c r="AO109" i="12"/>
  <c r="AP109" i="12" s="1"/>
  <c r="AJ109" i="12"/>
  <c r="AK109" i="12" s="1"/>
  <c r="AE109" i="12"/>
  <c r="AF109" i="12" s="1"/>
  <c r="Z109" i="12"/>
  <c r="AA109" i="12" s="1"/>
  <c r="AY108" i="12"/>
  <c r="AZ108" i="12" s="1"/>
  <c r="AT108" i="12"/>
  <c r="AU108" i="12" s="1"/>
  <c r="AO108" i="12"/>
  <c r="AP108" i="12" s="1"/>
  <c r="AJ108" i="12"/>
  <c r="AK108" i="12" s="1"/>
  <c r="AE108" i="12"/>
  <c r="AF108" i="12" s="1"/>
  <c r="Z108" i="12"/>
  <c r="AA108" i="12" s="1"/>
  <c r="I108" i="12"/>
  <c r="L107" i="12"/>
  <c r="M92" i="12" s="1"/>
  <c r="H107" i="12"/>
  <c r="AY103" i="12"/>
  <c r="AZ103" i="12" s="1"/>
  <c r="AT103" i="12"/>
  <c r="AU103" i="12" s="1"/>
  <c r="AO103" i="12"/>
  <c r="AP103" i="12" s="1"/>
  <c r="AJ103" i="12"/>
  <c r="AK103" i="12" s="1"/>
  <c r="AE103" i="12"/>
  <c r="AF103" i="12" s="1"/>
  <c r="Z103" i="12"/>
  <c r="AA103" i="12" s="1"/>
  <c r="I103" i="12"/>
  <c r="AY102" i="12"/>
  <c r="AZ102" i="12" s="1"/>
  <c r="AT102" i="12"/>
  <c r="AU102" i="12" s="1"/>
  <c r="AO102" i="12"/>
  <c r="AP102" i="12" s="1"/>
  <c r="AJ102" i="12"/>
  <c r="AK102" i="12" s="1"/>
  <c r="AE102" i="12"/>
  <c r="AF102" i="12" s="1"/>
  <c r="Z102" i="12"/>
  <c r="AA102" i="12" s="1"/>
  <c r="I102" i="12"/>
  <c r="AY101" i="12"/>
  <c r="AZ101" i="12" s="1"/>
  <c r="AT101" i="12"/>
  <c r="AU101" i="12" s="1"/>
  <c r="AO101" i="12"/>
  <c r="AP101" i="12" s="1"/>
  <c r="AJ101" i="12"/>
  <c r="AK101" i="12" s="1"/>
  <c r="AE101" i="12"/>
  <c r="AF101" i="12" s="1"/>
  <c r="Z101" i="12"/>
  <c r="AA101" i="12" s="1"/>
  <c r="AY100" i="12"/>
  <c r="AZ100" i="12" s="1"/>
  <c r="AT100" i="12"/>
  <c r="AU100" i="12" s="1"/>
  <c r="AO100" i="12"/>
  <c r="AP100" i="12" s="1"/>
  <c r="AJ100" i="12"/>
  <c r="AK100" i="12" s="1"/>
  <c r="AE100" i="12"/>
  <c r="AF100" i="12" s="1"/>
  <c r="Z100" i="12"/>
  <c r="AA100" i="12" s="1"/>
  <c r="AY99" i="12"/>
  <c r="AZ99" i="12" s="1"/>
  <c r="AT99" i="12"/>
  <c r="AU99" i="12" s="1"/>
  <c r="AO99" i="12"/>
  <c r="AP99" i="12" s="1"/>
  <c r="AJ99" i="12"/>
  <c r="AK99" i="12" s="1"/>
  <c r="AE99" i="12"/>
  <c r="AF99" i="12" s="1"/>
  <c r="Z99" i="12"/>
  <c r="AA99" i="12" s="1"/>
  <c r="I99" i="12"/>
  <c r="AY98" i="12"/>
  <c r="AZ98" i="12" s="1"/>
  <c r="AT98" i="12"/>
  <c r="AU98" i="12" s="1"/>
  <c r="AO98" i="12"/>
  <c r="AP98" i="12" s="1"/>
  <c r="AJ98" i="12"/>
  <c r="AK98" i="12" s="1"/>
  <c r="AE98" i="12"/>
  <c r="AF98" i="12" s="1"/>
  <c r="Z98" i="12"/>
  <c r="AA98" i="12" s="1"/>
  <c r="I98" i="12"/>
  <c r="AY97" i="12"/>
  <c r="AZ97" i="12" s="1"/>
  <c r="AT97" i="12"/>
  <c r="AU97" i="12" s="1"/>
  <c r="AO97" i="12"/>
  <c r="AP97" i="12" s="1"/>
  <c r="AJ97" i="12"/>
  <c r="AK97" i="12" s="1"/>
  <c r="AE97" i="12"/>
  <c r="AF97" i="12" s="1"/>
  <c r="Z97" i="12"/>
  <c r="AA97" i="12" s="1"/>
  <c r="I97" i="12"/>
  <c r="AY96" i="12"/>
  <c r="AZ96" i="12" s="1"/>
  <c r="AT96" i="12"/>
  <c r="AU96" i="12" s="1"/>
  <c r="AO96" i="12"/>
  <c r="AP96" i="12" s="1"/>
  <c r="AJ96" i="12"/>
  <c r="AK96" i="12" s="1"/>
  <c r="AE96" i="12"/>
  <c r="AF96" i="12" s="1"/>
  <c r="Z96" i="12"/>
  <c r="AA96" i="12" s="1"/>
  <c r="AY95" i="12"/>
  <c r="AZ95" i="12" s="1"/>
  <c r="AT95" i="12"/>
  <c r="AU95" i="12" s="1"/>
  <c r="AO95" i="12"/>
  <c r="AP95" i="12" s="1"/>
  <c r="AJ95" i="12"/>
  <c r="AK95" i="12" s="1"/>
  <c r="AE95" i="12"/>
  <c r="AF95" i="12" s="1"/>
  <c r="Z95" i="12"/>
  <c r="AA95" i="12" s="1"/>
  <c r="AY94" i="12"/>
  <c r="AZ94" i="12" s="1"/>
  <c r="AT94" i="12"/>
  <c r="AU94" i="12" s="1"/>
  <c r="AO94" i="12"/>
  <c r="AP94" i="12" s="1"/>
  <c r="AJ94" i="12"/>
  <c r="AK94" i="12" s="1"/>
  <c r="AE94" i="12"/>
  <c r="AF94" i="12" s="1"/>
  <c r="Z94" i="12"/>
  <c r="AA94" i="12" s="1"/>
  <c r="AY93" i="12"/>
  <c r="AZ93" i="12" s="1"/>
  <c r="AT93" i="12"/>
  <c r="AU93" i="12" s="1"/>
  <c r="AO93" i="12"/>
  <c r="AP93" i="12" s="1"/>
  <c r="AJ93" i="12"/>
  <c r="AK93" i="12" s="1"/>
  <c r="AE93" i="12"/>
  <c r="AF93" i="12" s="1"/>
  <c r="Z93" i="12"/>
  <c r="AA93" i="12" s="1"/>
  <c r="I93" i="12"/>
  <c r="AY92" i="12"/>
  <c r="AZ92" i="12" s="1"/>
  <c r="AT92" i="12"/>
  <c r="AU92" i="12" s="1"/>
  <c r="AO92" i="12"/>
  <c r="AP92" i="12" s="1"/>
  <c r="AJ92" i="12"/>
  <c r="AK92" i="12" s="1"/>
  <c r="AE92" i="12"/>
  <c r="AF92" i="12" s="1"/>
  <c r="Z92" i="12"/>
  <c r="AA92" i="12" s="1"/>
  <c r="I92" i="12"/>
  <c r="M85" i="12"/>
  <c r="H90" i="12"/>
  <c r="I88" i="12"/>
  <c r="AY87" i="12"/>
  <c r="AZ87" i="12" s="1"/>
  <c r="AT87" i="12"/>
  <c r="AU87" i="12" s="1"/>
  <c r="AO87" i="12"/>
  <c r="AP87" i="12" s="1"/>
  <c r="AJ87" i="12"/>
  <c r="AK87" i="12" s="1"/>
  <c r="AE87" i="12"/>
  <c r="AF87" i="12" s="1"/>
  <c r="Z87" i="12"/>
  <c r="AA87" i="12" s="1"/>
  <c r="I87" i="12"/>
  <c r="AY86" i="12"/>
  <c r="AZ86" i="12" s="1"/>
  <c r="AT86" i="12"/>
  <c r="AU86" i="12" s="1"/>
  <c r="AO86" i="12"/>
  <c r="AP86" i="12" s="1"/>
  <c r="AJ86" i="12"/>
  <c r="AK86" i="12" s="1"/>
  <c r="AE86" i="12"/>
  <c r="AF86" i="12" s="1"/>
  <c r="Z86" i="12"/>
  <c r="AA86" i="12" s="1"/>
  <c r="I86" i="12"/>
  <c r="AY85" i="12"/>
  <c r="AZ85" i="12" s="1"/>
  <c r="AT85" i="12"/>
  <c r="AU85" i="12" s="1"/>
  <c r="AO85" i="12"/>
  <c r="AP85" i="12" s="1"/>
  <c r="AJ85" i="12"/>
  <c r="AK85" i="12" s="1"/>
  <c r="AE85" i="12"/>
  <c r="AF85" i="12" s="1"/>
  <c r="Z85" i="12"/>
  <c r="I85" i="12"/>
  <c r="M75" i="12"/>
  <c r="I82" i="12"/>
  <c r="AY81" i="12"/>
  <c r="AZ81" i="12" s="1"/>
  <c r="AT81" i="12"/>
  <c r="AU81" i="12" s="1"/>
  <c r="AO81" i="12"/>
  <c r="AP81" i="12" s="1"/>
  <c r="AJ81" i="12"/>
  <c r="AK81" i="12" s="1"/>
  <c r="AE81" i="12"/>
  <c r="AF81" i="12" s="1"/>
  <c r="Z81" i="12"/>
  <c r="AA81" i="12" s="1"/>
  <c r="AY80" i="12"/>
  <c r="AZ80" i="12" s="1"/>
  <c r="AT80" i="12"/>
  <c r="AU80" i="12" s="1"/>
  <c r="AO80" i="12"/>
  <c r="AP80" i="12" s="1"/>
  <c r="AJ80" i="12"/>
  <c r="AK80" i="12" s="1"/>
  <c r="AE80" i="12"/>
  <c r="AF80" i="12" s="1"/>
  <c r="Z80" i="12"/>
  <c r="AA80" i="12" s="1"/>
  <c r="I80" i="12"/>
  <c r="AY79" i="12"/>
  <c r="AZ79" i="12" s="1"/>
  <c r="AT79" i="12"/>
  <c r="AU79" i="12" s="1"/>
  <c r="AO79" i="12"/>
  <c r="AP79" i="12" s="1"/>
  <c r="AJ79" i="12"/>
  <c r="AK79" i="12" s="1"/>
  <c r="AE79" i="12"/>
  <c r="AF79" i="12" s="1"/>
  <c r="Z79" i="12"/>
  <c r="AA79" i="12" s="1"/>
  <c r="AY78" i="12"/>
  <c r="AZ78" i="12" s="1"/>
  <c r="AT78" i="12"/>
  <c r="AU78" i="12" s="1"/>
  <c r="AO78" i="12"/>
  <c r="AP78" i="12" s="1"/>
  <c r="AJ78" i="12"/>
  <c r="AK78" i="12" s="1"/>
  <c r="AE78" i="12"/>
  <c r="AF78" i="12" s="1"/>
  <c r="Z78" i="12"/>
  <c r="AA78" i="12" s="1"/>
  <c r="I78" i="12"/>
  <c r="AY77" i="12"/>
  <c r="AZ77" i="12" s="1"/>
  <c r="AT77" i="12"/>
  <c r="AU77" i="12" s="1"/>
  <c r="AO77" i="12"/>
  <c r="AP77" i="12" s="1"/>
  <c r="AJ77" i="12"/>
  <c r="AK77" i="12" s="1"/>
  <c r="AE77" i="12"/>
  <c r="AF77" i="12" s="1"/>
  <c r="Z77" i="12"/>
  <c r="AA77" i="12" s="1"/>
  <c r="AY76" i="12"/>
  <c r="AZ76" i="12" s="1"/>
  <c r="AT76" i="12"/>
  <c r="AU76" i="12" s="1"/>
  <c r="AO76" i="12"/>
  <c r="AP76" i="12" s="1"/>
  <c r="AJ76" i="12"/>
  <c r="AK76" i="12" s="1"/>
  <c r="AE76" i="12"/>
  <c r="AF76" i="12" s="1"/>
  <c r="Z76" i="12"/>
  <c r="AA76" i="12" s="1"/>
  <c r="AY75" i="12"/>
  <c r="AZ75" i="12" s="1"/>
  <c r="AT75" i="12"/>
  <c r="AU75" i="12" s="1"/>
  <c r="AO75" i="12"/>
  <c r="AP75" i="12" s="1"/>
  <c r="AJ75" i="12"/>
  <c r="AK75" i="12" s="1"/>
  <c r="AE75" i="12"/>
  <c r="AF75" i="12" s="1"/>
  <c r="Z75" i="12"/>
  <c r="AA75" i="12" s="1"/>
  <c r="BB75" i="12" s="1"/>
  <c r="I75" i="12"/>
  <c r="L73" i="12"/>
  <c r="M72" i="12"/>
  <c r="J72" i="12"/>
  <c r="I72" i="12"/>
  <c r="L71" i="12"/>
  <c r="M64" i="12" s="1"/>
  <c r="H71" i="12"/>
  <c r="I70" i="12"/>
  <c r="AY69" i="12"/>
  <c r="AZ69" i="12" s="1"/>
  <c r="AT69" i="12"/>
  <c r="AU69" i="12" s="1"/>
  <c r="AO69" i="12"/>
  <c r="AP69" i="12" s="1"/>
  <c r="AJ69" i="12"/>
  <c r="AK69" i="12" s="1"/>
  <c r="AE69" i="12"/>
  <c r="AF69" i="12" s="1"/>
  <c r="Z69" i="12"/>
  <c r="AA69" i="12" s="1"/>
  <c r="BB69" i="12" s="1"/>
  <c r="I69" i="12"/>
  <c r="AY68" i="12"/>
  <c r="AZ68" i="12" s="1"/>
  <c r="AT68" i="12"/>
  <c r="AU68" i="12" s="1"/>
  <c r="AO68" i="12"/>
  <c r="AP68" i="12" s="1"/>
  <c r="AJ68" i="12"/>
  <c r="AK68" i="12" s="1"/>
  <c r="AE68" i="12"/>
  <c r="AF68" i="12" s="1"/>
  <c r="Z68" i="12"/>
  <c r="AA68" i="12" s="1"/>
  <c r="I68" i="12"/>
  <c r="AY67" i="12"/>
  <c r="AZ67" i="12" s="1"/>
  <c r="AT67" i="12"/>
  <c r="AU67" i="12" s="1"/>
  <c r="AO67" i="12"/>
  <c r="AP67" i="12" s="1"/>
  <c r="AJ67" i="12"/>
  <c r="AK67" i="12" s="1"/>
  <c r="AE67" i="12"/>
  <c r="AF67" i="12" s="1"/>
  <c r="Z67" i="12"/>
  <c r="AA67" i="12" s="1"/>
  <c r="BB67" i="12" s="1"/>
  <c r="AY66" i="12"/>
  <c r="AZ66" i="12" s="1"/>
  <c r="AT66" i="12"/>
  <c r="AU66" i="12" s="1"/>
  <c r="AO66" i="12"/>
  <c r="AP66" i="12" s="1"/>
  <c r="AJ66" i="12"/>
  <c r="AK66" i="12" s="1"/>
  <c r="AE66" i="12"/>
  <c r="AF66" i="12" s="1"/>
  <c r="Z66" i="12"/>
  <c r="AA66" i="12" s="1"/>
  <c r="I66" i="12"/>
  <c r="AY65" i="12"/>
  <c r="AZ65" i="12" s="1"/>
  <c r="AT65" i="12"/>
  <c r="AU65" i="12" s="1"/>
  <c r="AO65" i="12"/>
  <c r="AP65" i="12" s="1"/>
  <c r="AJ65" i="12"/>
  <c r="AK65" i="12" s="1"/>
  <c r="AE65" i="12"/>
  <c r="AF65" i="12" s="1"/>
  <c r="Z65" i="12"/>
  <c r="AA65" i="12" s="1"/>
  <c r="BB65" i="12" s="1"/>
  <c r="I65" i="12"/>
  <c r="AY64" i="12"/>
  <c r="AZ64" i="12" s="1"/>
  <c r="AT64" i="12"/>
  <c r="AU64" i="12" s="1"/>
  <c r="AO64" i="12"/>
  <c r="AP64" i="12" s="1"/>
  <c r="AJ64" i="12"/>
  <c r="AK64" i="12" s="1"/>
  <c r="AE64" i="12"/>
  <c r="AF64" i="12" s="1"/>
  <c r="Z64" i="12"/>
  <c r="AA64" i="12" s="1"/>
  <c r="I64" i="12"/>
  <c r="L63" i="12"/>
  <c r="M52" i="12" s="1"/>
  <c r="I62" i="12"/>
  <c r="AY61" i="12"/>
  <c r="AZ61" i="12" s="1"/>
  <c r="AT61" i="12"/>
  <c r="AU61" i="12" s="1"/>
  <c r="AO61" i="12"/>
  <c r="AP61" i="12" s="1"/>
  <c r="AJ61" i="12"/>
  <c r="AK61" i="12" s="1"/>
  <c r="AE61" i="12"/>
  <c r="AF61" i="12" s="1"/>
  <c r="Z61" i="12"/>
  <c r="AA61" i="12" s="1"/>
  <c r="I61" i="12"/>
  <c r="AY60" i="12"/>
  <c r="AZ60" i="12" s="1"/>
  <c r="AT60" i="12"/>
  <c r="AU60" i="12" s="1"/>
  <c r="AO60" i="12"/>
  <c r="AP60" i="12" s="1"/>
  <c r="AJ60" i="12"/>
  <c r="AK60" i="12" s="1"/>
  <c r="AE60" i="12"/>
  <c r="AF60" i="12" s="1"/>
  <c r="Z60" i="12"/>
  <c r="AA60" i="12" s="1"/>
  <c r="AY59" i="12"/>
  <c r="AZ59" i="12" s="1"/>
  <c r="AT59" i="12"/>
  <c r="AU59" i="12" s="1"/>
  <c r="AO59" i="12"/>
  <c r="AP59" i="12" s="1"/>
  <c r="AJ59" i="12"/>
  <c r="AK59" i="12" s="1"/>
  <c r="AE59" i="12"/>
  <c r="AF59" i="12" s="1"/>
  <c r="Z59" i="12"/>
  <c r="AA59" i="12" s="1"/>
  <c r="BB59" i="12" s="1"/>
  <c r="I59" i="12"/>
  <c r="AY58" i="12"/>
  <c r="AZ58" i="12" s="1"/>
  <c r="AT58" i="12"/>
  <c r="AU58" i="12" s="1"/>
  <c r="AO58" i="12"/>
  <c r="AP58" i="12" s="1"/>
  <c r="AJ58" i="12"/>
  <c r="AK58" i="12" s="1"/>
  <c r="AE58" i="12"/>
  <c r="AF58" i="12" s="1"/>
  <c r="Z58" i="12"/>
  <c r="AA58" i="12" s="1"/>
  <c r="AY57" i="12"/>
  <c r="AZ57" i="12" s="1"/>
  <c r="AT57" i="12"/>
  <c r="AU57" i="12" s="1"/>
  <c r="AO57" i="12"/>
  <c r="AP57" i="12" s="1"/>
  <c r="AJ57" i="12"/>
  <c r="AK57" i="12" s="1"/>
  <c r="AE57" i="12"/>
  <c r="AF57" i="12" s="1"/>
  <c r="Z57" i="12"/>
  <c r="AA57" i="12" s="1"/>
  <c r="BB57" i="12" s="1"/>
  <c r="I57" i="12"/>
  <c r="AY56" i="12"/>
  <c r="AZ56" i="12" s="1"/>
  <c r="AT56" i="12"/>
  <c r="AU56" i="12" s="1"/>
  <c r="AO56" i="12"/>
  <c r="AP56" i="12" s="1"/>
  <c r="AJ56" i="12"/>
  <c r="AK56" i="12" s="1"/>
  <c r="AE56" i="12"/>
  <c r="AF56" i="12" s="1"/>
  <c r="Z56" i="12"/>
  <c r="AA56" i="12" s="1"/>
  <c r="I56" i="12"/>
  <c r="AY55" i="12"/>
  <c r="AZ55" i="12" s="1"/>
  <c r="AT55" i="12"/>
  <c r="AU55" i="12" s="1"/>
  <c r="AO55" i="12"/>
  <c r="AP55" i="12" s="1"/>
  <c r="AJ55" i="12"/>
  <c r="AK55" i="12" s="1"/>
  <c r="AE55" i="12"/>
  <c r="AF55" i="12" s="1"/>
  <c r="Z55" i="12"/>
  <c r="AA55" i="12" s="1"/>
  <c r="BB55" i="12" s="1"/>
  <c r="I55" i="12"/>
  <c r="AY54" i="12"/>
  <c r="AZ54" i="12" s="1"/>
  <c r="AT54" i="12"/>
  <c r="AU54" i="12" s="1"/>
  <c r="AO54" i="12"/>
  <c r="AP54" i="12" s="1"/>
  <c r="AJ54" i="12"/>
  <c r="AK54" i="12" s="1"/>
  <c r="AE54" i="12"/>
  <c r="AF54" i="12" s="1"/>
  <c r="Z54" i="12"/>
  <c r="AA54" i="12" s="1"/>
  <c r="AY53" i="12"/>
  <c r="AZ53" i="12" s="1"/>
  <c r="AT53" i="12"/>
  <c r="AU53" i="12" s="1"/>
  <c r="AO53" i="12"/>
  <c r="AP53" i="12" s="1"/>
  <c r="AJ53" i="12"/>
  <c r="AK53" i="12" s="1"/>
  <c r="AE53" i="12"/>
  <c r="AF53" i="12" s="1"/>
  <c r="Z53" i="12"/>
  <c r="AA53" i="12" s="1"/>
  <c r="AY52" i="12"/>
  <c r="AZ52" i="12" s="1"/>
  <c r="AT52" i="12"/>
  <c r="AU52" i="12" s="1"/>
  <c r="AO52" i="12"/>
  <c r="AP52" i="12" s="1"/>
  <c r="AJ52" i="12"/>
  <c r="AK52" i="12" s="1"/>
  <c r="AE52" i="12"/>
  <c r="AF52" i="12" s="1"/>
  <c r="Z52" i="12"/>
  <c r="AA52" i="12" s="1"/>
  <c r="I52" i="12"/>
  <c r="L50" i="12"/>
  <c r="H50" i="12"/>
  <c r="I45" i="12"/>
  <c r="AY44" i="12"/>
  <c r="AZ44" i="12" s="1"/>
  <c r="AT44" i="12"/>
  <c r="AU44" i="12" s="1"/>
  <c r="AO44" i="12"/>
  <c r="AP44" i="12" s="1"/>
  <c r="AJ44" i="12"/>
  <c r="AK44" i="12" s="1"/>
  <c r="AE44" i="12"/>
  <c r="AF44" i="12" s="1"/>
  <c r="Z44" i="12"/>
  <c r="AA44" i="12" s="1"/>
  <c r="BB44" i="12" s="1"/>
  <c r="AY43" i="12"/>
  <c r="AZ43" i="12" s="1"/>
  <c r="AT43" i="12"/>
  <c r="AU43" i="12" s="1"/>
  <c r="AO43" i="12"/>
  <c r="AP43" i="12" s="1"/>
  <c r="AJ43" i="12"/>
  <c r="AK43" i="12" s="1"/>
  <c r="AE43" i="12"/>
  <c r="AF43" i="12" s="1"/>
  <c r="Z43" i="12"/>
  <c r="AA43" i="12" s="1"/>
  <c r="I43" i="12"/>
  <c r="AY42" i="12"/>
  <c r="AZ42" i="12" s="1"/>
  <c r="AT42" i="12"/>
  <c r="AU42" i="12" s="1"/>
  <c r="AO42" i="12"/>
  <c r="AP42" i="12" s="1"/>
  <c r="AJ42" i="12"/>
  <c r="AK42" i="12" s="1"/>
  <c r="AE42" i="12"/>
  <c r="AF42" i="12" s="1"/>
  <c r="Z42" i="12"/>
  <c r="AA42" i="12" s="1"/>
  <c r="BB42" i="12" s="1"/>
  <c r="AY41" i="12"/>
  <c r="AZ41" i="12" s="1"/>
  <c r="AT41" i="12"/>
  <c r="AU41" i="12" s="1"/>
  <c r="AO41" i="12"/>
  <c r="AP41" i="12" s="1"/>
  <c r="AJ41" i="12"/>
  <c r="AK41" i="12" s="1"/>
  <c r="AE41" i="12"/>
  <c r="AF41" i="12" s="1"/>
  <c r="Z41" i="12"/>
  <c r="AA41" i="12" s="1"/>
  <c r="I41" i="12"/>
  <c r="AY40" i="12"/>
  <c r="AZ40" i="12" s="1"/>
  <c r="AT40" i="12"/>
  <c r="AU40" i="12" s="1"/>
  <c r="AO40" i="12"/>
  <c r="AP40" i="12" s="1"/>
  <c r="AJ40" i="12"/>
  <c r="AK40" i="12" s="1"/>
  <c r="AE40" i="12"/>
  <c r="AF40" i="12" s="1"/>
  <c r="Z40" i="12"/>
  <c r="AA40" i="12" s="1"/>
  <c r="AY39" i="12"/>
  <c r="AZ39" i="12" s="1"/>
  <c r="AT39" i="12"/>
  <c r="AU39" i="12" s="1"/>
  <c r="AO39" i="12"/>
  <c r="AP39" i="12" s="1"/>
  <c r="AJ39" i="12"/>
  <c r="AK39" i="12" s="1"/>
  <c r="AE39" i="12"/>
  <c r="AF39" i="12" s="1"/>
  <c r="Z39" i="12"/>
  <c r="AA39" i="12" s="1"/>
  <c r="AY38" i="12"/>
  <c r="AZ38" i="12" s="1"/>
  <c r="AT38" i="12"/>
  <c r="AU38" i="12" s="1"/>
  <c r="AO38" i="12"/>
  <c r="AP38" i="12" s="1"/>
  <c r="AJ38" i="12"/>
  <c r="AK38" i="12" s="1"/>
  <c r="AE38" i="12"/>
  <c r="AF38" i="12" s="1"/>
  <c r="Z38" i="12"/>
  <c r="AA38" i="12" s="1"/>
  <c r="AY37" i="12"/>
  <c r="AZ37" i="12" s="1"/>
  <c r="AT37" i="12"/>
  <c r="AU37" i="12" s="1"/>
  <c r="AO37" i="12"/>
  <c r="AP37" i="12" s="1"/>
  <c r="AJ37" i="12"/>
  <c r="AK37" i="12" s="1"/>
  <c r="AE37" i="12"/>
  <c r="AF37" i="12" s="1"/>
  <c r="Z37" i="12"/>
  <c r="AA37" i="12" s="1"/>
  <c r="AY36" i="12"/>
  <c r="AZ36" i="12" s="1"/>
  <c r="AT36" i="12"/>
  <c r="AU36" i="12" s="1"/>
  <c r="AO36" i="12"/>
  <c r="AP36" i="12" s="1"/>
  <c r="AJ36" i="12"/>
  <c r="AK36" i="12" s="1"/>
  <c r="AE36" i="12"/>
  <c r="AF36" i="12" s="1"/>
  <c r="Z36" i="12"/>
  <c r="AA36" i="12" s="1"/>
  <c r="I36" i="12"/>
  <c r="AY35" i="12"/>
  <c r="AZ35" i="12" s="1"/>
  <c r="AT35" i="12"/>
  <c r="AU35" i="12" s="1"/>
  <c r="AO35" i="12"/>
  <c r="AP35" i="12" s="1"/>
  <c r="AJ35" i="12"/>
  <c r="AK35" i="12" s="1"/>
  <c r="AE35" i="12"/>
  <c r="AF35" i="12" s="1"/>
  <c r="Z35" i="12"/>
  <c r="AA35" i="12" s="1"/>
  <c r="I35" i="12"/>
  <c r="AY34" i="12"/>
  <c r="AZ34" i="12" s="1"/>
  <c r="AT34" i="12"/>
  <c r="AU34" i="12" s="1"/>
  <c r="AO34" i="12"/>
  <c r="AP34" i="12" s="1"/>
  <c r="AJ34" i="12"/>
  <c r="AK34" i="12" s="1"/>
  <c r="AE34" i="12"/>
  <c r="AF34" i="12" s="1"/>
  <c r="Z34" i="12"/>
  <c r="AA34" i="12" s="1"/>
  <c r="AY33" i="12"/>
  <c r="AZ33" i="12" s="1"/>
  <c r="AT33" i="12"/>
  <c r="AU33" i="12" s="1"/>
  <c r="AO33" i="12"/>
  <c r="AP33" i="12" s="1"/>
  <c r="AJ33" i="12"/>
  <c r="AK33" i="12" s="1"/>
  <c r="AE33" i="12"/>
  <c r="AF33" i="12" s="1"/>
  <c r="Z33" i="12"/>
  <c r="AA33" i="12" s="1"/>
  <c r="BB33" i="12" s="1"/>
  <c r="AY32" i="12"/>
  <c r="AZ32" i="12" s="1"/>
  <c r="AT32" i="12"/>
  <c r="AU32" i="12" s="1"/>
  <c r="AO32" i="12"/>
  <c r="AP32" i="12" s="1"/>
  <c r="AJ32" i="12"/>
  <c r="AK32" i="12" s="1"/>
  <c r="AE32" i="12"/>
  <c r="AF32" i="12" s="1"/>
  <c r="Z32" i="12"/>
  <c r="AA32" i="12" s="1"/>
  <c r="I32" i="12"/>
  <c r="AY31" i="12"/>
  <c r="AZ31" i="12" s="1"/>
  <c r="AT31" i="12"/>
  <c r="AU31" i="12" s="1"/>
  <c r="AO31" i="12"/>
  <c r="AP31" i="12" s="1"/>
  <c r="AJ31" i="12"/>
  <c r="AK31" i="12" s="1"/>
  <c r="AE31" i="12"/>
  <c r="AF31" i="12" s="1"/>
  <c r="Z31" i="12"/>
  <c r="AA31" i="12" s="1"/>
  <c r="BB31" i="12" s="1"/>
  <c r="I31" i="12"/>
  <c r="AY30" i="12"/>
  <c r="AZ30" i="12" s="1"/>
  <c r="AT30" i="12"/>
  <c r="AU30" i="12" s="1"/>
  <c r="AO30" i="12"/>
  <c r="AP30" i="12" s="1"/>
  <c r="AJ30" i="12"/>
  <c r="AK30" i="12" s="1"/>
  <c r="AE30" i="12"/>
  <c r="AF30" i="12" s="1"/>
  <c r="Z30" i="12"/>
  <c r="AA30" i="12" s="1"/>
  <c r="AY29" i="12"/>
  <c r="AZ29" i="12" s="1"/>
  <c r="AT29" i="12"/>
  <c r="AU29" i="12" s="1"/>
  <c r="AO29" i="12"/>
  <c r="AP29" i="12" s="1"/>
  <c r="AJ29" i="12"/>
  <c r="AK29" i="12" s="1"/>
  <c r="AE29" i="12"/>
  <c r="AF29" i="12" s="1"/>
  <c r="Z29" i="12"/>
  <c r="AA29" i="12" s="1"/>
  <c r="I29" i="12"/>
  <c r="AY28" i="12"/>
  <c r="AZ28" i="12" s="1"/>
  <c r="AT28" i="12"/>
  <c r="AU28" i="12" s="1"/>
  <c r="AO28" i="12"/>
  <c r="AP28" i="12" s="1"/>
  <c r="AJ28" i="12"/>
  <c r="AK28" i="12" s="1"/>
  <c r="AE28" i="12"/>
  <c r="AF28" i="12" s="1"/>
  <c r="Z28" i="12"/>
  <c r="AA28" i="12" s="1"/>
  <c r="AY27" i="12"/>
  <c r="AZ27" i="12" s="1"/>
  <c r="AT27" i="12"/>
  <c r="AU27" i="12" s="1"/>
  <c r="AO27" i="12"/>
  <c r="AP27" i="12" s="1"/>
  <c r="AJ27" i="12"/>
  <c r="AK27" i="12" s="1"/>
  <c r="AE27" i="12"/>
  <c r="AF27" i="12" s="1"/>
  <c r="Z27" i="12"/>
  <c r="AA27" i="12" s="1"/>
  <c r="I27" i="12"/>
  <c r="L25" i="12"/>
  <c r="I25" i="12"/>
  <c r="AY24" i="12"/>
  <c r="AZ24" i="12" s="1"/>
  <c r="AT24" i="12"/>
  <c r="AU24" i="12" s="1"/>
  <c r="AO24" i="12"/>
  <c r="AP24" i="12" s="1"/>
  <c r="AJ24" i="12"/>
  <c r="AK24" i="12" s="1"/>
  <c r="AE24" i="12"/>
  <c r="AF24" i="12" s="1"/>
  <c r="Z24" i="12"/>
  <c r="AA24" i="12" s="1"/>
  <c r="AY23" i="12"/>
  <c r="AZ23" i="12" s="1"/>
  <c r="AT23" i="12"/>
  <c r="AU23" i="12" s="1"/>
  <c r="AO23" i="12"/>
  <c r="AP23" i="12" s="1"/>
  <c r="AJ23" i="12"/>
  <c r="AK23" i="12" s="1"/>
  <c r="AE23" i="12"/>
  <c r="AF23" i="12" s="1"/>
  <c r="Z23" i="12"/>
  <c r="AA23" i="12" s="1"/>
  <c r="AY22" i="12"/>
  <c r="AZ22" i="12" s="1"/>
  <c r="AT22" i="12"/>
  <c r="AU22" i="12" s="1"/>
  <c r="AO22" i="12"/>
  <c r="AP22" i="12" s="1"/>
  <c r="AJ22" i="12"/>
  <c r="AK22" i="12" s="1"/>
  <c r="AE22" i="12"/>
  <c r="AF22" i="12" s="1"/>
  <c r="Z22" i="12"/>
  <c r="AA22" i="12" s="1"/>
  <c r="AY21" i="12"/>
  <c r="AZ21" i="12" s="1"/>
  <c r="AT21" i="12"/>
  <c r="AU21" i="12" s="1"/>
  <c r="AO21" i="12"/>
  <c r="AP21" i="12" s="1"/>
  <c r="AJ21" i="12"/>
  <c r="AK21" i="12" s="1"/>
  <c r="AE21" i="12"/>
  <c r="AF21" i="12" s="1"/>
  <c r="Z21" i="12"/>
  <c r="AA21" i="12" s="1"/>
  <c r="AY20" i="12"/>
  <c r="AZ20" i="12" s="1"/>
  <c r="AT20" i="12"/>
  <c r="AU20" i="12" s="1"/>
  <c r="AO20" i="12"/>
  <c r="AP20" i="12" s="1"/>
  <c r="AJ20" i="12"/>
  <c r="AK20" i="12" s="1"/>
  <c r="AE20" i="12"/>
  <c r="AF20" i="12" s="1"/>
  <c r="Z20" i="12"/>
  <c r="AA20" i="12" s="1"/>
  <c r="AY19" i="12"/>
  <c r="AZ19" i="12" s="1"/>
  <c r="AT19" i="12"/>
  <c r="AU19" i="12" s="1"/>
  <c r="AO19" i="12"/>
  <c r="AP19" i="12" s="1"/>
  <c r="AJ19" i="12"/>
  <c r="AK19" i="12" s="1"/>
  <c r="AE19" i="12"/>
  <c r="AF19" i="12" s="1"/>
  <c r="Z19" i="12"/>
  <c r="AA19" i="12" s="1"/>
  <c r="AY18" i="12"/>
  <c r="AZ18" i="12" s="1"/>
  <c r="AT18" i="12"/>
  <c r="AU18" i="12" s="1"/>
  <c r="AO18" i="12"/>
  <c r="AP18" i="12" s="1"/>
  <c r="AJ18" i="12"/>
  <c r="AK18" i="12" s="1"/>
  <c r="AE18" i="12"/>
  <c r="AF18" i="12" s="1"/>
  <c r="Z18" i="12"/>
  <c r="AA18" i="12" s="1"/>
  <c r="BB18" i="12" s="1"/>
  <c r="AY17" i="12"/>
  <c r="AZ17" i="12" s="1"/>
  <c r="AT17" i="12"/>
  <c r="AU17" i="12" s="1"/>
  <c r="AO17" i="12"/>
  <c r="AP17" i="12" s="1"/>
  <c r="AJ17" i="12"/>
  <c r="AK17" i="12" s="1"/>
  <c r="AE17" i="12"/>
  <c r="AF17" i="12" s="1"/>
  <c r="Z17" i="12"/>
  <c r="AA17" i="12" s="1"/>
  <c r="L16" i="12"/>
  <c r="I16" i="12"/>
  <c r="J5" i="12" s="1"/>
  <c r="AY15" i="12"/>
  <c r="AZ15" i="12" s="1"/>
  <c r="AT15" i="12"/>
  <c r="AU15" i="12" s="1"/>
  <c r="AO15" i="12"/>
  <c r="AP15" i="12" s="1"/>
  <c r="AJ15" i="12"/>
  <c r="AK15" i="12" s="1"/>
  <c r="AE15" i="12"/>
  <c r="AF15" i="12" s="1"/>
  <c r="Z15" i="12"/>
  <c r="AA15" i="12" s="1"/>
  <c r="BB15" i="12" s="1"/>
  <c r="AY14" i="12"/>
  <c r="AZ14" i="12" s="1"/>
  <c r="AT14" i="12"/>
  <c r="AU14" i="12" s="1"/>
  <c r="AO14" i="12"/>
  <c r="AP14" i="12" s="1"/>
  <c r="AJ14" i="12"/>
  <c r="AK14" i="12" s="1"/>
  <c r="AE14" i="12"/>
  <c r="AF14" i="12" s="1"/>
  <c r="Z14" i="12"/>
  <c r="AA14" i="12" s="1"/>
  <c r="AY13" i="12"/>
  <c r="AZ13" i="12" s="1"/>
  <c r="AT13" i="12"/>
  <c r="AU13" i="12" s="1"/>
  <c r="AO13" i="12"/>
  <c r="AP13" i="12" s="1"/>
  <c r="AJ13" i="12"/>
  <c r="AK13" i="12" s="1"/>
  <c r="AE13" i="12"/>
  <c r="AF13" i="12" s="1"/>
  <c r="Z13" i="12"/>
  <c r="AA13" i="12" s="1"/>
  <c r="AY12" i="12"/>
  <c r="AZ12" i="12" s="1"/>
  <c r="AT12" i="12"/>
  <c r="AU12" i="12" s="1"/>
  <c r="AO12" i="12"/>
  <c r="AP12" i="12" s="1"/>
  <c r="AJ12" i="12"/>
  <c r="AK12" i="12" s="1"/>
  <c r="AE12" i="12"/>
  <c r="AF12" i="12" s="1"/>
  <c r="Z12" i="12"/>
  <c r="AA12" i="12" s="1"/>
  <c r="AY11" i="12"/>
  <c r="AZ11" i="12" s="1"/>
  <c r="AT11" i="12"/>
  <c r="AU11" i="12" s="1"/>
  <c r="AO11" i="12"/>
  <c r="AP11" i="12" s="1"/>
  <c r="AJ11" i="12"/>
  <c r="AK11" i="12" s="1"/>
  <c r="AE11" i="12"/>
  <c r="AF11" i="12" s="1"/>
  <c r="Z11" i="12"/>
  <c r="AA11" i="12" s="1"/>
  <c r="AY10" i="12"/>
  <c r="AZ10" i="12" s="1"/>
  <c r="AT10" i="12"/>
  <c r="AU10" i="12" s="1"/>
  <c r="AO10" i="12"/>
  <c r="AP10" i="12" s="1"/>
  <c r="AJ10" i="12"/>
  <c r="AK10" i="12" s="1"/>
  <c r="AE10" i="12"/>
  <c r="AF10" i="12" s="1"/>
  <c r="Z10" i="12"/>
  <c r="AA10" i="12" s="1"/>
  <c r="AY9" i="12"/>
  <c r="AZ9" i="12" s="1"/>
  <c r="AT9" i="12"/>
  <c r="AU9" i="12" s="1"/>
  <c r="AO9" i="12"/>
  <c r="AP9" i="12" s="1"/>
  <c r="AJ9" i="12"/>
  <c r="AK9" i="12" s="1"/>
  <c r="AE9" i="12"/>
  <c r="AF9" i="12" s="1"/>
  <c r="Z9" i="12"/>
  <c r="AA9" i="12" s="1"/>
  <c r="AY8" i="12"/>
  <c r="AZ8" i="12" s="1"/>
  <c r="AT8" i="12"/>
  <c r="AU8" i="12" s="1"/>
  <c r="AO8" i="12"/>
  <c r="AP8" i="12" s="1"/>
  <c r="AJ8" i="12"/>
  <c r="AK8" i="12" s="1"/>
  <c r="AE8" i="12"/>
  <c r="AF8" i="12" s="1"/>
  <c r="Z8" i="12"/>
  <c r="AA8" i="12" s="1"/>
  <c r="BB8" i="12" s="1"/>
  <c r="AY7" i="12"/>
  <c r="AZ7" i="12" s="1"/>
  <c r="AT7" i="12"/>
  <c r="AU7" i="12" s="1"/>
  <c r="AO7" i="12"/>
  <c r="AP7" i="12" s="1"/>
  <c r="AJ7" i="12"/>
  <c r="AK7" i="12" s="1"/>
  <c r="AE7" i="12"/>
  <c r="AF7" i="12" s="1"/>
  <c r="Z7" i="12"/>
  <c r="AA7" i="12" s="1"/>
  <c r="BB79" i="12" l="1"/>
  <c r="BB77" i="12"/>
  <c r="BB80" i="12"/>
  <c r="AA85" i="12"/>
  <c r="BB78" i="12"/>
  <c r="BC78" i="12" s="1"/>
  <c r="BD78" i="12" s="1"/>
  <c r="BB76" i="12"/>
  <c r="BB81" i="12"/>
  <c r="BC81" i="12" s="1"/>
  <c r="BD81" i="12" s="1"/>
  <c r="BB10" i="12"/>
  <c r="BC10" i="12" s="1"/>
  <c r="BD10" i="12" s="1"/>
  <c r="BB20" i="12"/>
  <c r="BB37" i="12"/>
  <c r="BC37" i="12" s="1"/>
  <c r="BD37" i="12" s="1"/>
  <c r="BB35" i="12"/>
  <c r="BB61" i="12"/>
  <c r="BC61" i="12" s="1"/>
  <c r="BD61" i="12" s="1"/>
  <c r="BB13" i="12"/>
  <c r="BC13" i="12" s="1"/>
  <c r="BD13" i="12" s="1"/>
  <c r="BB23" i="12"/>
  <c r="BC23" i="12" s="1"/>
  <c r="BD23" i="12" s="1"/>
  <c r="BB29" i="12"/>
  <c r="BC29" i="12" s="1"/>
  <c r="BD29" i="12" s="1"/>
  <c r="BB40" i="12"/>
  <c r="BC40" i="12" s="1"/>
  <c r="BD40" i="12" s="1"/>
  <c r="BB53" i="12"/>
  <c r="BB11" i="12"/>
  <c r="BC11" i="12" s="1"/>
  <c r="BD11" i="12" s="1"/>
  <c r="BB21" i="12"/>
  <c r="BC21" i="12" s="1"/>
  <c r="BD21" i="12" s="1"/>
  <c r="BB38" i="12"/>
  <c r="BC38" i="12" s="1"/>
  <c r="BD38" i="12" s="1"/>
  <c r="BB27" i="12"/>
  <c r="BC27" i="12" s="1"/>
  <c r="BD27" i="12" s="1"/>
  <c r="BB9" i="12"/>
  <c r="BC9" i="12" s="1"/>
  <c r="BD9" i="12" s="1"/>
  <c r="BB19" i="12"/>
  <c r="BC19" i="12" s="1"/>
  <c r="BD19" i="12" s="1"/>
  <c r="BB34" i="12"/>
  <c r="BC34" i="12" s="1"/>
  <c r="BD34" i="12" s="1"/>
  <c r="BB60" i="12"/>
  <c r="BC60" i="12" s="1"/>
  <c r="BD60" i="12" s="1"/>
  <c r="BB58" i="12"/>
  <c r="BC58" i="12" s="1"/>
  <c r="BD58" i="12" s="1"/>
  <c r="BB68" i="12"/>
  <c r="BC68" i="12" s="1"/>
  <c r="BD68" i="12" s="1"/>
  <c r="BB36" i="12"/>
  <c r="BB7" i="12"/>
  <c r="BB14" i="12"/>
  <c r="BB17" i="12"/>
  <c r="BC17" i="12" s="1"/>
  <c r="BD17" i="12" s="1"/>
  <c r="BB24" i="12"/>
  <c r="BC24" i="12" s="1"/>
  <c r="BD24" i="12" s="1"/>
  <c r="BB30" i="12"/>
  <c r="BB32" i="12"/>
  <c r="BC32" i="12" s="1"/>
  <c r="BD32" i="12" s="1"/>
  <c r="BB43" i="12"/>
  <c r="BC43" i="12" s="1"/>
  <c r="BD43" i="12" s="1"/>
  <c r="BB54" i="12"/>
  <c r="BC54" i="12" s="1"/>
  <c r="BD54" i="12" s="1"/>
  <c r="BB56" i="12"/>
  <c r="BC56" i="12" s="1"/>
  <c r="BD56" i="12" s="1"/>
  <c r="BB64" i="12"/>
  <c r="BC64" i="12" s="1"/>
  <c r="BD64" i="12" s="1"/>
  <c r="BB66" i="12"/>
  <c r="BC66" i="12" s="1"/>
  <c r="BD66" i="12" s="1"/>
  <c r="BB28" i="12"/>
  <c r="BC28" i="12" s="1"/>
  <c r="BD28" i="12" s="1"/>
  <c r="BB41" i="12"/>
  <c r="BC41" i="12" s="1"/>
  <c r="BD41" i="12" s="1"/>
  <c r="BB12" i="12"/>
  <c r="BB22" i="12"/>
  <c r="BB39" i="12"/>
  <c r="BB52" i="12"/>
  <c r="E268" i="12"/>
  <c r="M27" i="12"/>
  <c r="E276" i="12"/>
  <c r="E280" i="12"/>
  <c r="E272" i="12"/>
  <c r="M5" i="12"/>
  <c r="E267" i="12" s="1"/>
  <c r="I227" i="12"/>
  <c r="J224" i="12" s="1"/>
  <c r="I179" i="12"/>
  <c r="J177" i="12" s="1"/>
  <c r="BC257" i="12"/>
  <c r="BD257" i="12" s="1"/>
  <c r="BC114" i="12"/>
  <c r="BD114" i="12" s="1"/>
  <c r="I218" i="12"/>
  <c r="J215" i="12" s="1"/>
  <c r="BC130" i="12"/>
  <c r="BD130" i="12" s="1"/>
  <c r="BC70" i="12"/>
  <c r="BD70" i="12" s="1"/>
  <c r="BC102" i="12"/>
  <c r="BD102" i="12" s="1"/>
  <c r="BC59" i="12"/>
  <c r="BD59" i="12" s="1"/>
  <c r="BC42" i="12"/>
  <c r="BD42" i="12" s="1"/>
  <c r="BC87" i="12"/>
  <c r="BD87" i="12" s="1"/>
  <c r="BC96" i="12"/>
  <c r="BD96" i="12" s="1"/>
  <c r="BC244" i="12"/>
  <c r="BD244" i="12" s="1"/>
  <c r="BC263" i="12"/>
  <c r="BD263" i="12" s="1"/>
  <c r="BC241" i="12"/>
  <c r="BD241" i="12" s="1"/>
  <c r="I250" i="12"/>
  <c r="J248" i="12" s="1"/>
  <c r="BC181" i="12"/>
  <c r="BD181" i="12" s="1"/>
  <c r="BC115" i="12"/>
  <c r="BD115" i="12" s="1"/>
  <c r="BC123" i="12"/>
  <c r="BD123" i="12" s="1"/>
  <c r="BC182" i="12"/>
  <c r="BD182" i="12" s="1"/>
  <c r="BC94" i="12"/>
  <c r="BD94" i="12" s="1"/>
  <c r="BC160" i="12"/>
  <c r="BD160" i="12" s="1"/>
  <c r="BC162" i="12"/>
  <c r="BD162" i="12" s="1"/>
  <c r="BC229" i="12"/>
  <c r="BD229" i="12" s="1"/>
  <c r="I149" i="12"/>
  <c r="J146" i="12" s="1"/>
  <c r="BC177" i="12"/>
  <c r="BD177" i="12" s="1"/>
  <c r="I240" i="12"/>
  <c r="J233" i="12" s="1"/>
  <c r="BC237" i="12"/>
  <c r="BD237" i="12" s="1"/>
  <c r="BC239" i="12"/>
  <c r="BD239" i="12" s="1"/>
  <c r="I254" i="12"/>
  <c r="J252" i="12" s="1"/>
  <c r="I71" i="12"/>
  <c r="J64" i="12" s="1"/>
  <c r="BC109" i="12"/>
  <c r="BD109" i="12" s="1"/>
  <c r="BC95" i="12"/>
  <c r="BD95" i="12" s="1"/>
  <c r="BC174" i="12"/>
  <c r="BD174" i="12" s="1"/>
  <c r="BC234" i="12"/>
  <c r="BD234" i="12" s="1"/>
  <c r="BC165" i="12"/>
  <c r="BD165" i="12" s="1"/>
  <c r="I163" i="12"/>
  <c r="J160" i="12" s="1"/>
  <c r="BC36" i="12"/>
  <c r="BD36" i="12" s="1"/>
  <c r="BC110" i="12"/>
  <c r="BD110" i="12" s="1"/>
  <c r="BC75" i="12"/>
  <c r="BD75" i="12" s="1"/>
  <c r="BC105" i="12"/>
  <c r="BD105" i="12" s="1"/>
  <c r="I141" i="12"/>
  <c r="J135" i="12" s="1"/>
  <c r="BC39" i="12"/>
  <c r="BD39" i="12" s="1"/>
  <c r="BC65" i="12"/>
  <c r="BD65" i="12" s="1"/>
  <c r="BC101" i="12"/>
  <c r="BD101" i="12" s="1"/>
  <c r="BC146" i="12"/>
  <c r="BD146" i="12" s="1"/>
  <c r="BC148" i="12"/>
  <c r="BD148" i="12" s="1"/>
  <c r="BC193" i="12"/>
  <c r="BD193" i="12" s="1"/>
  <c r="BC212" i="12"/>
  <c r="BD212" i="12" s="1"/>
  <c r="BC168" i="12"/>
  <c r="BD168" i="12" s="1"/>
  <c r="I63" i="12"/>
  <c r="J52" i="12" s="1"/>
  <c r="BC216" i="12"/>
  <c r="BD216" i="12" s="1"/>
  <c r="BC80" i="12"/>
  <c r="BD80" i="12" s="1"/>
  <c r="BC48" i="12"/>
  <c r="BD48" i="12" s="1"/>
  <c r="BC72" i="12"/>
  <c r="BD72" i="12" s="1"/>
  <c r="BC203" i="12"/>
  <c r="BD203" i="12" s="1"/>
  <c r="BC256" i="12"/>
  <c r="BD256" i="12" s="1"/>
  <c r="BC183" i="12"/>
  <c r="BD183" i="12" s="1"/>
  <c r="BC139" i="12"/>
  <c r="BD139" i="12" s="1"/>
  <c r="BC157" i="12"/>
  <c r="BD157" i="12" s="1"/>
  <c r="BC12" i="12"/>
  <c r="BD12" i="12" s="1"/>
  <c r="BC45" i="12"/>
  <c r="BD45" i="12" s="1"/>
  <c r="BC88" i="12"/>
  <c r="BD88" i="12" s="1"/>
  <c r="BC8" i="12"/>
  <c r="BD8" i="12" s="1"/>
  <c r="BC18" i="12"/>
  <c r="BD18" i="12" s="1"/>
  <c r="BC33" i="12"/>
  <c r="BD33" i="12" s="1"/>
  <c r="BC44" i="12"/>
  <c r="BD44" i="12" s="1"/>
  <c r="BC119" i="12"/>
  <c r="BD119" i="12" s="1"/>
  <c r="BC138" i="12"/>
  <c r="BD138" i="12" s="1"/>
  <c r="BC190" i="12"/>
  <c r="BD190" i="12" s="1"/>
  <c r="BC77" i="12"/>
  <c r="BD77" i="12" s="1"/>
  <c r="BC135" i="12"/>
  <c r="BD135" i="12" s="1"/>
  <c r="BC226" i="12"/>
  <c r="BD226" i="12" s="1"/>
  <c r="BC118" i="12"/>
  <c r="BD118" i="12" s="1"/>
  <c r="BC127" i="12"/>
  <c r="BD127" i="12" s="1"/>
  <c r="I50" i="12"/>
  <c r="J27" i="12" s="1"/>
  <c r="I121" i="12"/>
  <c r="J108" i="12" s="1"/>
  <c r="BC112" i="12"/>
  <c r="BD112" i="12" s="1"/>
  <c r="BC35" i="12"/>
  <c r="BD35" i="12" s="1"/>
  <c r="BC154" i="12"/>
  <c r="BD154" i="12" s="1"/>
  <c r="I184" i="12"/>
  <c r="J181" i="12" s="1"/>
  <c r="BC221" i="12"/>
  <c r="BD221" i="12" s="1"/>
  <c r="BC225" i="12"/>
  <c r="BD225" i="12" s="1"/>
  <c r="BC31" i="12"/>
  <c r="BD31" i="12" s="1"/>
  <c r="BC49" i="12"/>
  <c r="BD49" i="12" s="1"/>
  <c r="BC92" i="12"/>
  <c r="BD92" i="12" s="1"/>
  <c r="I156" i="12"/>
  <c r="J153" i="12" s="1"/>
  <c r="BC209" i="12"/>
  <c r="BD209" i="12" s="1"/>
  <c r="BC125" i="12"/>
  <c r="BD125" i="12" s="1"/>
  <c r="BC120" i="12"/>
  <c r="BD120" i="12" s="1"/>
  <c r="BC204" i="12"/>
  <c r="BD204" i="12" s="1"/>
  <c r="BC238" i="12"/>
  <c r="BD238" i="12" s="1"/>
  <c r="BC243" i="12"/>
  <c r="BD243" i="12" s="1"/>
  <c r="BC262" i="12"/>
  <c r="BD262" i="12" s="1"/>
  <c r="BC113" i="12"/>
  <c r="BD113" i="12" s="1"/>
  <c r="BC47" i="12"/>
  <c r="BD47" i="12" s="1"/>
  <c r="BC7" i="12"/>
  <c r="BD7" i="12" s="1"/>
  <c r="BC76" i="12"/>
  <c r="BD76" i="12" s="1"/>
  <c r="BC97" i="12"/>
  <c r="BD97" i="12" s="1"/>
  <c r="BC99" i="12"/>
  <c r="BD99" i="12" s="1"/>
  <c r="BC116" i="12"/>
  <c r="BD116" i="12" s="1"/>
  <c r="BC136" i="12"/>
  <c r="BD136" i="12" s="1"/>
  <c r="BC186" i="12"/>
  <c r="BD186" i="12" s="1"/>
  <c r="BC228" i="12"/>
  <c r="BD228" i="12" s="1"/>
  <c r="BC230" i="12"/>
  <c r="BD230" i="12" s="1"/>
  <c r="BC15" i="12"/>
  <c r="BD15" i="12" s="1"/>
  <c r="BC103" i="12"/>
  <c r="BD103" i="12" s="1"/>
  <c r="BC153" i="12"/>
  <c r="BD153" i="12" s="1"/>
  <c r="BC189" i="12"/>
  <c r="BD189" i="12" s="1"/>
  <c r="BC242" i="12"/>
  <c r="BD242" i="12" s="1"/>
  <c r="BC5" i="12"/>
  <c r="BD5" i="12" s="1"/>
  <c r="BC93" i="12"/>
  <c r="BD93" i="12" s="1"/>
  <c r="BC117" i="12"/>
  <c r="BD117" i="12" s="1"/>
  <c r="BC147" i="12"/>
  <c r="BD147" i="12" s="1"/>
  <c r="BC215" i="12"/>
  <c r="BD215" i="12" s="1"/>
  <c r="BC235" i="12"/>
  <c r="BD235" i="12" s="1"/>
  <c r="I84" i="12"/>
  <c r="J75" i="12" s="1"/>
  <c r="BC126" i="12"/>
  <c r="BD126" i="12" s="1"/>
  <c r="BC129" i="12"/>
  <c r="BD129" i="12" s="1"/>
  <c r="BC131" i="12"/>
  <c r="BD131" i="12" s="1"/>
  <c r="BC178" i="12"/>
  <c r="BD178" i="12" s="1"/>
  <c r="BC220" i="12"/>
  <c r="BD220" i="12" s="1"/>
  <c r="BC30" i="12"/>
  <c r="BD30" i="12" s="1"/>
  <c r="BC53" i="12"/>
  <c r="BD53" i="12" s="1"/>
  <c r="BC67" i="12"/>
  <c r="BD67" i="12" s="1"/>
  <c r="BC69" i="12"/>
  <c r="BD69" i="12" s="1"/>
  <c r="BC124" i="12"/>
  <c r="BD124" i="12" s="1"/>
  <c r="BC155" i="12"/>
  <c r="BD155" i="12" s="1"/>
  <c r="BC172" i="12"/>
  <c r="BD172" i="12" s="1"/>
  <c r="BC195" i="12"/>
  <c r="BD195" i="12" s="1"/>
  <c r="BC202" i="12"/>
  <c r="BD202" i="12" s="1"/>
  <c r="BC224" i="12"/>
  <c r="BD224" i="12" s="1"/>
  <c r="BC249" i="12"/>
  <c r="BD249" i="12" s="1"/>
  <c r="M17" i="12"/>
  <c r="J17" i="12"/>
  <c r="BC52" i="12"/>
  <c r="BD52" i="12" s="1"/>
  <c r="BC82" i="12"/>
  <c r="BD82" i="12" s="1"/>
  <c r="BC205" i="12"/>
  <c r="BD205" i="12" s="1"/>
  <c r="BC233" i="12"/>
  <c r="BD233" i="12" s="1"/>
  <c r="BC252" i="12"/>
  <c r="BD252" i="12" s="1"/>
  <c r="I107" i="12"/>
  <c r="J92" i="12" s="1"/>
  <c r="I207" i="12"/>
  <c r="J202" i="12" s="1"/>
  <c r="BC111" i="12"/>
  <c r="BD111" i="12" s="1"/>
  <c r="BC140" i="12"/>
  <c r="BD140" i="12" s="1"/>
  <c r="BC245" i="12"/>
  <c r="BD245" i="12" s="1"/>
  <c r="BC261" i="12"/>
  <c r="BD261" i="12" s="1"/>
  <c r="BC150" i="12"/>
  <c r="BD150" i="12" s="1"/>
  <c r="BC98" i="12"/>
  <c r="BD98" i="12" s="1"/>
  <c r="BC86" i="12"/>
  <c r="BD86" i="12" s="1"/>
  <c r="BC20" i="12"/>
  <c r="BD20" i="12" s="1"/>
  <c r="BC219" i="12"/>
  <c r="BD219" i="12" s="1"/>
  <c r="BC79" i="12"/>
  <c r="BD79" i="12" s="1"/>
  <c r="BC6" i="12"/>
  <c r="BD6" i="12" s="1"/>
  <c r="BC100" i="12"/>
  <c r="BD100" i="12" s="1"/>
  <c r="BC108" i="12"/>
  <c r="BD108" i="12" s="1"/>
  <c r="BC122" i="12"/>
  <c r="BD122" i="12" s="1"/>
  <c r="BC171" i="12"/>
  <c r="BD171" i="12" s="1"/>
  <c r="BC253" i="12"/>
  <c r="BD253" i="12" s="1"/>
  <c r="BC14" i="12"/>
  <c r="BD14" i="12" s="1"/>
  <c r="BC22" i="12"/>
  <c r="BD22" i="12" s="1"/>
  <c r="BC46" i="12"/>
  <c r="BD46" i="12" s="1"/>
  <c r="BC62" i="12"/>
  <c r="BD62" i="12" s="1"/>
  <c r="I90" i="12"/>
  <c r="J85" i="12" s="1"/>
  <c r="BC104" i="12"/>
  <c r="BD104" i="12" s="1"/>
  <c r="BC206" i="12"/>
  <c r="BD206" i="12" s="1"/>
  <c r="BC236" i="12"/>
  <c r="BD236" i="12" s="1"/>
  <c r="I247" i="12"/>
  <c r="J241" i="12" s="1"/>
  <c r="BC258" i="12"/>
  <c r="BD258" i="12" s="1"/>
  <c r="BC248" i="12"/>
  <c r="BD248" i="12" s="1"/>
  <c r="BC55" i="12"/>
  <c r="BD55" i="12" s="1"/>
  <c r="BC128" i="12"/>
  <c r="BD128" i="12" s="1"/>
  <c r="BC132" i="12"/>
  <c r="BD132" i="12" s="1"/>
  <c r="BC137" i="12"/>
  <c r="BD137" i="12" s="1"/>
  <c r="BC57" i="12"/>
  <c r="BD57" i="12" s="1"/>
  <c r="BC85" i="12"/>
  <c r="BD85" i="12" s="1"/>
  <c r="BC106" i="12"/>
  <c r="BD106" i="12" s="1"/>
  <c r="BC161" i="12"/>
  <c r="BD161" i="12" s="1"/>
  <c r="BC187" i="12"/>
  <c r="BD187" i="12" s="1"/>
  <c r="BC194" i="12"/>
  <c r="BD194" i="12" s="1"/>
  <c r="BC217" i="12"/>
  <c r="BD217" i="12" s="1"/>
  <c r="BC246" i="12"/>
  <c r="BD246" i="12" s="1"/>
  <c r="E271" i="12" l="1"/>
  <c r="N85" i="12"/>
  <c r="BD250" i="12"/>
  <c r="N75" i="12"/>
  <c r="BD254" i="12"/>
  <c r="BD84" i="12"/>
  <c r="BD90" i="12"/>
  <c r="BD156" i="12"/>
  <c r="BD107" i="12"/>
  <c r="BD227" i="12"/>
  <c r="BD179" i="12"/>
  <c r="BD173" i="12"/>
  <c r="BD191" i="12"/>
  <c r="BD71" i="12"/>
  <c r="BD207" i="12"/>
  <c r="N157" i="12"/>
  <c r="BD158" i="12"/>
  <c r="N212" i="12"/>
  <c r="BD213" i="12"/>
  <c r="BD133" i="12"/>
  <c r="BD121" i="12"/>
  <c r="BD196" i="12"/>
  <c r="BD231" i="12"/>
  <c r="BD163" i="12"/>
  <c r="BD188" i="12"/>
  <c r="N168" i="12"/>
  <c r="BD169" i="12"/>
  <c r="BD141" i="12"/>
  <c r="N165" i="12"/>
  <c r="BD166" i="12"/>
  <c r="BD218" i="12"/>
  <c r="BD259" i="12"/>
  <c r="N174" i="12"/>
  <c r="BD175" i="12"/>
  <c r="BD25" i="12"/>
  <c r="BD149" i="12"/>
  <c r="BD222" i="12"/>
  <c r="BD240" i="12"/>
  <c r="BD50" i="12"/>
  <c r="N72" i="12"/>
  <c r="BD73" i="12"/>
  <c r="BD184" i="12"/>
  <c r="N150" i="12"/>
  <c r="BD151" i="12"/>
  <c r="BD63" i="12"/>
  <c r="BD16" i="12"/>
  <c r="BD264" i="12"/>
  <c r="N209" i="12"/>
  <c r="BD210" i="12"/>
  <c r="BD247" i="12"/>
  <c r="E279" i="12"/>
  <c r="E275" i="12"/>
  <c r="N181" i="12"/>
  <c r="N171" i="12"/>
  <c r="N189" i="12"/>
  <c r="N224" i="12"/>
  <c r="N153" i="12"/>
  <c r="N256" i="12"/>
  <c r="N146" i="12"/>
  <c r="N160" i="12"/>
  <c r="N177" i="12"/>
  <c r="N219" i="12"/>
  <c r="N17" i="12"/>
  <c r="N27" i="12"/>
  <c r="N135" i="12"/>
  <c r="N252" i="12"/>
  <c r="N228" i="12"/>
  <c r="N248" i="12"/>
  <c r="N241" i="12"/>
  <c r="N92" i="12"/>
  <c r="N122" i="12"/>
  <c r="N108" i="12"/>
  <c r="J265" i="12"/>
  <c r="N215" i="12"/>
  <c r="N186" i="12"/>
  <c r="N5" i="12"/>
  <c r="N52" i="12"/>
  <c r="N261" i="12"/>
  <c r="N193" i="12"/>
  <c r="N64" i="12"/>
  <c r="N233" i="12"/>
  <c r="N202" i="12"/>
  <c r="F268" i="12" l="1"/>
  <c r="F267" i="12"/>
  <c r="F271" i="12"/>
  <c r="F276" i="12"/>
  <c r="F280" i="12"/>
  <c r="F272" i="12"/>
  <c r="F275" i="12"/>
  <c r="F27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tc={B5F89F6D-55F3-4E86-BB47-88D199E36D18}</author>
  </authors>
  <commentList>
    <comment ref="BA4" authorId="0" shapeId="0" xr:uid="{B5F89F6D-55F3-4E86-BB47-88D199E36D18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Coverage to input as 1</t>
      </text>
    </comment>
  </commentList>
</comments>
</file>

<file path=xl/sharedStrings.xml><?xml version="1.0" encoding="utf-8"?>
<sst xmlns="http://schemas.openxmlformats.org/spreadsheetml/2006/main" count="1217" uniqueCount="368">
  <si>
    <t>New Proposed</t>
  </si>
  <si>
    <t>Stationed Porters in NUH</t>
  </si>
  <si>
    <t>Station Coverage</t>
  </si>
  <si>
    <t>S/N</t>
  </si>
  <si>
    <t>PHI</t>
  </si>
  <si>
    <t>Dept</t>
  </si>
  <si>
    <t>Building</t>
  </si>
  <si>
    <t>Shift Start</t>
  </si>
  <si>
    <t>Shift End</t>
  </si>
  <si>
    <t># of Hours</t>
  </si>
  <si>
    <t>No of Porters</t>
  </si>
  <si>
    <t>Hours (Sub-Total)</t>
  </si>
  <si>
    <t>FTE</t>
  </si>
  <si>
    <t>Days</t>
  </si>
  <si>
    <t>Productive Hours</t>
  </si>
  <si>
    <t>Required FTE</t>
  </si>
  <si>
    <t>Provided FTE</t>
  </si>
  <si>
    <t>Slot</t>
  </si>
  <si>
    <t>Technician</t>
  </si>
  <si>
    <t>Status</t>
  </si>
  <si>
    <t>Off Day</t>
  </si>
  <si>
    <t>Coverage 1</t>
  </si>
  <si>
    <t>Start Time</t>
  </si>
  <si>
    <t>End Time</t>
  </si>
  <si>
    <t>Provision Rule 1</t>
  </si>
  <si>
    <t>Provision Rule 2</t>
  </si>
  <si>
    <t>Coverage 2</t>
  </si>
  <si>
    <t>Coverage 3</t>
  </si>
  <si>
    <t>Coverage 4</t>
  </si>
  <si>
    <t>Coverage 5</t>
  </si>
  <si>
    <t>Coverage 6</t>
  </si>
  <si>
    <t>Non Coverage</t>
  </si>
  <si>
    <t>Total Provision (Coverage)</t>
  </si>
  <si>
    <t>Total Provision Rule 1</t>
  </si>
  <si>
    <t>Total Provision Final</t>
  </si>
  <si>
    <t>Remarks</t>
  </si>
  <si>
    <t>NUH</t>
  </si>
  <si>
    <t>Central Sterile Supply Unit
(CSSD)</t>
  </si>
  <si>
    <t>Medical Centre</t>
  </si>
  <si>
    <t>8:00am</t>
  </si>
  <si>
    <t>12:00pm</t>
  </si>
  <si>
    <t>Monday to Friday</t>
  </si>
  <si>
    <t>Kanageswari</t>
  </si>
  <si>
    <t>Sun</t>
  </si>
  <si>
    <t>Muhamad Amin Bin AB Rahman</t>
  </si>
  <si>
    <t>Mohd Razif Bin Mohamad Lazim</t>
  </si>
  <si>
    <t>Muhammad Faaiz Bin Zainal Abidin</t>
  </si>
  <si>
    <t>Ranjurah D/O Mohaideen Pichay</t>
  </si>
  <si>
    <t>Nurhafizah Binte Asman</t>
  </si>
  <si>
    <t>Arno D/O Lee Peng Lian @Eh Pelin</t>
  </si>
  <si>
    <t>Sat &amp; Sun</t>
  </si>
  <si>
    <t>Farhana</t>
  </si>
  <si>
    <t>1:00pm</t>
  </si>
  <si>
    <t>7:00pm</t>
  </si>
  <si>
    <t>Jack Pyae</t>
  </si>
  <si>
    <t>M Saratha</t>
  </si>
  <si>
    <t>Mon - Fri Headcount</t>
  </si>
  <si>
    <t>Saturday</t>
  </si>
  <si>
    <t>5:00pm</t>
  </si>
  <si>
    <t>Athulur Venkateswaralu Nishanthi</t>
  </si>
  <si>
    <t>Sat Headcount</t>
  </si>
  <si>
    <t>Emergency Department (EMD)</t>
  </si>
  <si>
    <t>Main Building</t>
  </si>
  <si>
    <t>Monday to Sunday / Public Holiday</t>
  </si>
  <si>
    <t>Minder Kaur</t>
  </si>
  <si>
    <t>Sat</t>
  </si>
  <si>
    <t>Monu</t>
  </si>
  <si>
    <t>4:00pm</t>
  </si>
  <si>
    <t>Nor Hisham Mustapha</t>
  </si>
  <si>
    <t>Alt Sat Sun</t>
  </si>
  <si>
    <t>Maizan</t>
  </si>
  <si>
    <t>9:00am</t>
  </si>
  <si>
    <t>Isacc Steven</t>
  </si>
  <si>
    <t>Alt Sat / Fixed Sun</t>
  </si>
  <si>
    <t>10:00am</t>
  </si>
  <si>
    <t>6:00pm</t>
  </si>
  <si>
    <t>Navjot Singh</t>
  </si>
  <si>
    <t>Thurs</t>
  </si>
  <si>
    <t>Syed Ibrahim Moiddukaka</t>
  </si>
  <si>
    <t xml:space="preserve">Fri </t>
  </si>
  <si>
    <t>Sekar Nallappan</t>
  </si>
  <si>
    <t>11:00am</t>
  </si>
  <si>
    <t>Oliver Pyae Phyo Kyaw</t>
  </si>
  <si>
    <t>9:00pm</t>
  </si>
  <si>
    <t>Lee Peng Chye</t>
  </si>
  <si>
    <t>Tang Leng Keow Carol</t>
  </si>
  <si>
    <t>Ramamoorthy Selvanayagam</t>
  </si>
  <si>
    <t>Thur</t>
  </si>
  <si>
    <t xml:space="preserve">Raval Nilesh Rajeshkumar </t>
  </si>
  <si>
    <t>Wed</t>
  </si>
  <si>
    <t>Harwinder Singh</t>
  </si>
  <si>
    <t>Tues</t>
  </si>
  <si>
    <t>3:00pm</t>
  </si>
  <si>
    <t>Rimpy Rani</t>
  </si>
  <si>
    <t>Sandeep Kumar</t>
  </si>
  <si>
    <t>Sathvara Jhanvi</t>
  </si>
  <si>
    <t>7:30am</t>
  </si>
  <si>
    <t>Mohamed Ismail S/O Nagor Merah</t>
  </si>
  <si>
    <t>Thu Fri Sat</t>
  </si>
  <si>
    <t>Jumari Bin Busari</t>
  </si>
  <si>
    <t>Sun Mon Tue</t>
  </si>
  <si>
    <t>Basri Bin Mohamed</t>
  </si>
  <si>
    <t>Kannan S/O Arunasalam</t>
  </si>
  <si>
    <t>Fri Sat Sun</t>
  </si>
  <si>
    <t>Sunny</t>
  </si>
  <si>
    <t>Mon</t>
  </si>
  <si>
    <t>Mon-Sun/PH Headcount</t>
  </si>
  <si>
    <t>Inpatient X-Ray
(DDI)</t>
  </si>
  <si>
    <t>4:30pm</t>
  </si>
  <si>
    <t>S Thana</t>
  </si>
  <si>
    <t>Alt Sat &amp; Sun</t>
  </si>
  <si>
    <t>Raja Indris</t>
  </si>
  <si>
    <t>Zulkefli Bin Sibon</t>
  </si>
  <si>
    <t>Joseph Paul</t>
  </si>
  <si>
    <t>8:30am</t>
  </si>
  <si>
    <t>Goh Seng Wee</t>
  </si>
  <si>
    <t>Juliana Binte Taib</t>
  </si>
  <si>
    <t>Koh Hiap Khoon</t>
  </si>
  <si>
    <t>Thurgadevi Silvarajoo</t>
  </si>
  <si>
    <t>Puteri Hafizah Binti Norin</t>
  </si>
  <si>
    <t>Premlatha Ganesan</t>
  </si>
  <si>
    <t>7:00am</t>
  </si>
  <si>
    <t>Manjit Kaur</t>
  </si>
  <si>
    <t>Thu</t>
  </si>
  <si>
    <t>1:30pm</t>
  </si>
  <si>
    <t>Sunday</t>
  </si>
  <si>
    <t>Sun Headcount</t>
  </si>
  <si>
    <t>Main Building Operating Theatre
(MOT)</t>
  </si>
  <si>
    <t>Monday to Saturday</t>
  </si>
  <si>
    <t>Ang Teck Huat</t>
  </si>
  <si>
    <t>Hamsani Bin Ismail</t>
  </si>
  <si>
    <t>Joseph Jeffrey Lopez</t>
  </si>
  <si>
    <t>Navdeep Kaur</t>
  </si>
  <si>
    <t>Auni Natrah Binti Khairuddin</t>
  </si>
  <si>
    <t>Rotate</t>
  </si>
  <si>
    <t>Muhammad Harith Bin Ricominoroy @ Muhammad Harith Bin Abdullah</t>
  </si>
  <si>
    <t>Fri</t>
  </si>
  <si>
    <t>Raffee Bin Ismail</t>
  </si>
  <si>
    <t>Buang Bin Mohamed</t>
  </si>
  <si>
    <t>Sun, Mon</t>
  </si>
  <si>
    <t>Night Shift Break Coverage</t>
  </si>
  <si>
    <t>Mon - Sat Headcount</t>
  </si>
  <si>
    <t>Sunday / Public Holidays</t>
  </si>
  <si>
    <t>Sun/PH Headcount</t>
  </si>
  <si>
    <t>Main Building Pharmacy
(MBP)</t>
  </si>
  <si>
    <t xml:space="preserve">Eng Geok Lan </t>
  </si>
  <si>
    <t>Ramasamy Sarasak</t>
  </si>
  <si>
    <t>Tan Bee Khim</t>
  </si>
  <si>
    <t>Babylyn Lachica Neo</t>
  </si>
  <si>
    <t>Tay Kok Jin</t>
  </si>
  <si>
    <t>Wong Yuan Lee</t>
  </si>
  <si>
    <t>8:00:00AM</t>
  </si>
  <si>
    <t>8:00:00PM</t>
  </si>
  <si>
    <t>2:00pm</t>
  </si>
  <si>
    <t>Lee Kam Sim</t>
  </si>
  <si>
    <t>Mary Ng Teng Soon</t>
  </si>
  <si>
    <t>Parvathy D/O Thakmalingam</t>
  </si>
  <si>
    <t>Ponjani Tamilarasu</t>
  </si>
  <si>
    <t>2:00am</t>
  </si>
  <si>
    <t>Karsimah D/O Kulandai</t>
  </si>
  <si>
    <t>Tue, Wed, Thu</t>
  </si>
  <si>
    <t>2:30am</t>
  </si>
  <si>
    <t>5:30am</t>
  </si>
  <si>
    <t>6:00am</t>
  </si>
  <si>
    <t>Theivakumar Palaniyappan</t>
  </si>
  <si>
    <t>Ruziah Bte Mohd Yusoff</t>
  </si>
  <si>
    <t>Yogeswari Murugaiah</t>
  </si>
  <si>
    <t>Ong Tien Seng Peter</t>
  </si>
  <si>
    <t>Ranjitham Manikan</t>
  </si>
  <si>
    <t>Pavithira Vediappan</t>
  </si>
  <si>
    <t>Vanmathi D/O Shanmugam</t>
  </si>
  <si>
    <t>Rehab L5</t>
  </si>
  <si>
    <t>Krishnan Thayanithi</t>
  </si>
  <si>
    <t>Beins Milton Anthony</t>
  </si>
  <si>
    <t>Kunapathi D/O Muthusamy</t>
  </si>
  <si>
    <t xml:space="preserve">Abdul Waji </t>
  </si>
  <si>
    <t>Fri Sat</t>
  </si>
  <si>
    <t>Nonis Doreen Theresa</t>
  </si>
  <si>
    <t>Endoscopy</t>
  </si>
  <si>
    <t>Kent Ridge Wing</t>
  </si>
  <si>
    <t>11:30am</t>
  </si>
  <si>
    <t>Sauthri D/O Murugiah</t>
  </si>
  <si>
    <t>Koh Kee Tin</t>
  </si>
  <si>
    <t>Chong Yoke Chin</t>
  </si>
  <si>
    <t>Basement Pharmacy</t>
  </si>
  <si>
    <t>Centre of Oral Health</t>
  </si>
  <si>
    <t>Gunasekara Gowthaman</t>
  </si>
  <si>
    <t>Singh Prem</t>
  </si>
  <si>
    <t>Tue</t>
  </si>
  <si>
    <t>Muhammad Hanif Bin Ishak</t>
  </si>
  <si>
    <t>Medical Centre Operating Theatre
(MCOT)</t>
  </si>
  <si>
    <t>7.30am</t>
  </si>
  <si>
    <t>Baharudin Bin Othman</t>
  </si>
  <si>
    <t>Sat Sun</t>
  </si>
  <si>
    <t>Rehab L7</t>
  </si>
  <si>
    <t xml:space="preserve"> Kent Ridge Wing</t>
  </si>
  <si>
    <t>Archive</t>
  </si>
  <si>
    <t>Grace Lim Siu Choo</t>
  </si>
  <si>
    <t>FIC-MRI</t>
  </si>
  <si>
    <t xml:space="preserve">Main Building </t>
  </si>
  <si>
    <t>Jasuni Bin Saharan</t>
  </si>
  <si>
    <t>Chan Fook Seng, Michael</t>
  </si>
  <si>
    <t>Wed &amp; Sun</t>
  </si>
  <si>
    <t>NCIS</t>
  </si>
  <si>
    <t>5:30pm</t>
  </si>
  <si>
    <t>Luke Yoke Fah Allan</t>
  </si>
  <si>
    <t>Jumahat Bin Sadley</t>
  </si>
  <si>
    <t>Angiography</t>
  </si>
  <si>
    <t>Lim Swee Tee</t>
  </si>
  <si>
    <t>Saddam Husein Bin Abdul Rashid</t>
  </si>
  <si>
    <t>Medical Records Office
(MRO)</t>
  </si>
  <si>
    <t>Mohamad Yassin Bin Ramli</t>
  </si>
  <si>
    <t>Rohani Bte Ehwan</t>
  </si>
  <si>
    <t>Cardiac/
Vascular</t>
  </si>
  <si>
    <t xml:space="preserve"> 8:00am</t>
  </si>
  <si>
    <t>Cheng Weng Cheong</t>
  </si>
  <si>
    <t>R Selvi</t>
  </si>
  <si>
    <t>Day Surgery Ward</t>
  </si>
  <si>
    <r>
      <rPr>
        <strike/>
        <sz val="12"/>
        <color rgb="FFFF0000"/>
        <rFont val="Calibri"/>
        <family val="2"/>
        <scheme val="minor"/>
      </rPr>
      <t>1</t>
    </r>
    <r>
      <rPr>
        <sz val="12"/>
        <color rgb="FF000000"/>
        <rFont val="Calibri"/>
        <family val="2"/>
        <scheme val="minor"/>
      </rPr>
      <t xml:space="preserve"> 0</t>
    </r>
  </si>
  <si>
    <t>No. of Headcount</t>
  </si>
  <si>
    <t>Inpatient Dialysis Centre
(IDC)</t>
  </si>
  <si>
    <t>Joseph Paul Francis</t>
  </si>
  <si>
    <t xml:space="preserve">Tai Nguyen Ngoc Tai </t>
  </si>
  <si>
    <t>8:00pm</t>
  </si>
  <si>
    <t>Lee Yoke Fun Jaceline (Lu YuFen)</t>
  </si>
  <si>
    <t>Ward 22</t>
  </si>
  <si>
    <t>Shalini Selvaraj</t>
  </si>
  <si>
    <t>Neuro Lab</t>
  </si>
  <si>
    <t xml:space="preserve"> 8:30am</t>
  </si>
  <si>
    <t>Aminullah Mahmoed</t>
  </si>
  <si>
    <t>Acute Medical Unit 1.0
(AMU 1.0)</t>
  </si>
  <si>
    <t>Mohamed Salim Bin Sa'aban</t>
  </si>
  <si>
    <t>Jenny Chua</t>
  </si>
  <si>
    <t xml:space="preserve">Bahtiar Bin Ibrahim </t>
  </si>
  <si>
    <t>Mon-Fri Headcount</t>
  </si>
  <si>
    <t xml:space="preserve"> 12:00pm</t>
  </si>
  <si>
    <t>Saturday to Sunday/Public Holiday</t>
  </si>
  <si>
    <t>Sat-Sun/PH Headcount</t>
  </si>
  <si>
    <t>Acute Medical Unit 2.0
(AMU 2.0)</t>
  </si>
  <si>
    <t>Wally D/O V.N Govindasamy</t>
  </si>
  <si>
    <t>Goh Swee Hiang</t>
  </si>
  <si>
    <t>Anis Anisha Binti Mustafa Kamal</t>
  </si>
  <si>
    <t xml:space="preserve">Equipment </t>
  </si>
  <si>
    <t>Overall</t>
  </si>
  <si>
    <t>Ramlah Binte Selamat</t>
  </si>
  <si>
    <t xml:space="preserve">Rohana Bte Ahamad </t>
  </si>
  <si>
    <t>Kuik Kue Chon</t>
  </si>
  <si>
    <t>Zulakirudin Bin Othman @ Zulkiflie</t>
  </si>
  <si>
    <t>Mohamed Noor Bin Sariyana</t>
  </si>
  <si>
    <t>Supa'at Bin Adam</t>
  </si>
  <si>
    <t>Sunday / Public Holiday</t>
  </si>
  <si>
    <t>Kent Ridge Wing Operating Theatre
(KRWOT)</t>
  </si>
  <si>
    <t>Chee Siew Kee</t>
  </si>
  <si>
    <t>Sim Hee Cheung</t>
  </si>
  <si>
    <t>NUS@Home</t>
  </si>
  <si>
    <t>Sulasmi Binti Suparman</t>
  </si>
  <si>
    <t>Foo Zhe Ming</t>
  </si>
  <si>
    <t>Blood Bank Rounds</t>
  </si>
  <si>
    <t xml:space="preserve"> 2:00am</t>
  </si>
  <si>
    <t>3:00am</t>
  </si>
  <si>
    <t>Total</t>
  </si>
  <si>
    <t>Required</t>
  </si>
  <si>
    <t>Provided</t>
  </si>
  <si>
    <t>Mon to Fri FTE Required Vs Provided</t>
  </si>
  <si>
    <t>Mon to Fri Hours Required Vs Provided</t>
  </si>
  <si>
    <t>Sat FTE Required Vs Provided</t>
  </si>
  <si>
    <t>Sat Hours Required Vs Provided</t>
  </si>
  <si>
    <t>Sun FTE Required Vs Provided</t>
  </si>
  <si>
    <t>Sun Hours Required Vs Provided</t>
  </si>
  <si>
    <t>PH FTE Required Vs Provided</t>
  </si>
  <si>
    <t>PH Hours Required Vs Provided</t>
  </si>
  <si>
    <t>Time</t>
  </si>
  <si>
    <t>00:00 am</t>
  </si>
  <si>
    <t>00:15 am</t>
  </si>
  <si>
    <t>00:30 am</t>
  </si>
  <si>
    <t>00:45 am</t>
  </si>
  <si>
    <t>1:00 am</t>
  </si>
  <si>
    <t>1:15 am</t>
  </si>
  <si>
    <t>1:30 am</t>
  </si>
  <si>
    <t>1:45 am</t>
  </si>
  <si>
    <t>2:00 am</t>
  </si>
  <si>
    <t>2:15 am</t>
  </si>
  <si>
    <t>2:30 am</t>
  </si>
  <si>
    <t>2:45 am</t>
  </si>
  <si>
    <t>3:00 am</t>
  </si>
  <si>
    <t>3:15 am</t>
  </si>
  <si>
    <t>3:30 am</t>
  </si>
  <si>
    <t>3:45 am</t>
  </si>
  <si>
    <t>4:00 am</t>
  </si>
  <si>
    <t>4:15 am</t>
  </si>
  <si>
    <t>4:30 am</t>
  </si>
  <si>
    <t>4:45 am</t>
  </si>
  <si>
    <t>5:00 am</t>
  </si>
  <si>
    <t>5:15 am</t>
  </si>
  <si>
    <t>5:30 am</t>
  </si>
  <si>
    <t>5:45 am</t>
  </si>
  <si>
    <t>6:00 am</t>
  </si>
  <si>
    <t>6:15 am</t>
  </si>
  <si>
    <t>6:30 am</t>
  </si>
  <si>
    <t>6:45 am</t>
  </si>
  <si>
    <t>7:00 am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</si>
  <si>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</si>
  <si>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</si>
  <si>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</si>
  <si>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</si>
  <si>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</si>
  <si>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</si>
  <si>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</si>
  <si>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</si>
  <si>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</si>
  <si>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</si>
  <si>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</si>
  <si>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</si>
  <si>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</si>
  <si>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</si>
  <si>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</si>
  <si>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</si>
  <si>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</si>
  <si>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</si>
  <si>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</si>
  <si>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</si>
  <si>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</si>
  <si>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</si>
  <si>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</si>
  <si>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</si>
  <si>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</si>
  <si>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</si>
  <si>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</si>
  <si>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</si>
  <si>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</si>
  <si>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</si>
  <si>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</si>
  <si>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3:00 pm</t>
  </si>
  <si>
    <t>3:15 pm</t>
  </si>
  <si>
    <t>3:30 pm</t>
  </si>
  <si>
    <t>3:45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</si>
  <si>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</si>
  <si>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</si>
  <si>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</si>
  <si>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</si>
  <si>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</si>
  <si>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</si>
  <si>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</si>
  <si>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</si>
  <si>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</si>
  <si>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6:15 pm</t>
  </si>
  <si>
    <t>6:30 pm</t>
  </si>
  <si>
    <t>6:45 pm</t>
  </si>
  <si>
    <t>7:00 pm</t>
  </si>
  <si>
    <t>7:15 pm</t>
  </si>
  <si>
    <t>7:30 pm</t>
  </si>
  <si>
    <t>7:45 pm</t>
  </si>
  <si>
    <t>8:00 pm</t>
  </si>
  <si>
    <t>8:15 pm</t>
  </si>
  <si>
    <t>8:30 pm</t>
  </si>
  <si>
    <t>8:45 pm</t>
  </si>
  <si>
    <t>9:00 pm</t>
  </si>
  <si>
    <t>9:15 pm</t>
  </si>
  <si>
    <t>9:30 pm</t>
  </si>
  <si>
    <t>9:45 pm</t>
  </si>
  <si>
    <t>10:00 pm</t>
  </si>
  <si>
    <t>10:15 pm</t>
  </si>
  <si>
    <t>10:30 pm</t>
  </si>
  <si>
    <t>10:45 pm</t>
  </si>
  <si>
    <t>11:00 pm</t>
  </si>
  <si>
    <t>11:15 pm</t>
  </si>
  <si>
    <t>11:30 pm</t>
  </si>
  <si>
    <t>11:45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</si>
</sst>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FF0000"/>
      <name val="Arial"/>
      <family val="2"/>
    </font>
    <font>
      <sz val="12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FF"/>
        <bgColor indexed="64"/>
      </patternFill>
    </fill>
  </fills>
  <borders count="55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65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7" fillId="12" borderId="0" xfId="0" applyFont="1" applyFill="1" applyAlignment="1">
      <alignment horizontal="center" vertical="top"/>
    </xf>
    <xf numFmtId="0" fontId="8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165" fontId="7" fillId="6" borderId="28" xfId="0" applyNumberFormat="1" applyFont="1" applyFill="1" applyBorder="1" applyAlignment="1">
      <alignment horizontal="center" vertical="center"/>
    </xf>
    <xf numFmtId="165" fontId="7" fillId="16" borderId="28" xfId="0" applyNumberFormat="1" applyFont="1" applyFill="1" applyBorder="1" applyAlignment="1">
      <alignment horizontal="center" vertical="center"/>
    </xf>
    <xf numFmtId="0" fontId="9" fillId="16" borderId="29" xfId="0" applyFont="1" applyFill="1" applyBorder="1" applyAlignment="1">
      <alignment horizontal="center" vertical="center" wrapText="1"/>
    </xf>
    <xf numFmtId="0" fontId="9" fillId="16" borderId="27" xfId="0" applyFont="1" applyFill="1" applyBorder="1" applyAlignment="1">
      <alignment horizontal="center" vertical="center" wrapText="1"/>
    </xf>
    <xf numFmtId="2" fontId="9" fillId="6" borderId="29" xfId="0" applyNumberFormat="1" applyFont="1" applyFill="1" applyBorder="1" applyAlignment="1">
      <alignment horizontal="center" vertical="center" wrapText="1"/>
    </xf>
    <xf numFmtId="2" fontId="9" fillId="16" borderId="51" xfId="0" applyNumberFormat="1" applyFont="1" applyFill="1" applyBorder="1" applyAlignment="1">
      <alignment horizontal="center" vertical="center" wrapText="1"/>
    </xf>
    <xf numFmtId="2" fontId="9" fillId="6" borderId="28" xfId="0" applyNumberFormat="1" applyFont="1" applyFill="1" applyBorder="1" applyAlignment="1">
      <alignment horizontal="center" vertical="center" wrapText="1"/>
    </xf>
    <xf numFmtId="2" fontId="9" fillId="6" borderId="27" xfId="0" applyNumberFormat="1" applyFont="1" applyFill="1" applyBorder="1" applyAlignment="1">
      <alignment horizontal="center" vertical="center" wrapText="1"/>
    </xf>
    <xf numFmtId="0" fontId="9" fillId="16" borderId="49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5" fillId="13" borderId="32" xfId="0" applyFont="1" applyFill="1" applyBorder="1" applyAlignment="1">
      <alignment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left" vertical="center"/>
    </xf>
    <xf numFmtId="20" fontId="6" fillId="0" borderId="34" xfId="0" applyNumberFormat="1" applyFont="1" applyBorder="1" applyAlignment="1">
      <alignment horizontal="center" vertical="center" wrapText="1"/>
    </xf>
    <xf numFmtId="20" fontId="6" fillId="0" borderId="32" xfId="0" applyNumberFormat="1" applyFont="1" applyBorder="1" applyAlignment="1">
      <alignment horizontal="center" vertical="center" wrapText="1"/>
    </xf>
    <xf numFmtId="2" fontId="6" fillId="0" borderId="50" xfId="0" applyNumberFormat="1" applyFont="1" applyBorder="1" applyAlignment="1">
      <alignment horizontal="center" vertical="center" wrapText="1"/>
    </xf>
    <xf numFmtId="2" fontId="6" fillId="0" borderId="31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5" fillId="13" borderId="30" xfId="0" applyFont="1" applyFill="1" applyBorder="1" applyAlignment="1">
      <alignment vertical="center"/>
    </xf>
    <xf numFmtId="165" fontId="5" fillId="15" borderId="0" xfId="0" applyNumberFormat="1" applyFont="1" applyFill="1" applyAlignment="1">
      <alignment horizontal="center" vertical="center"/>
    </xf>
    <xf numFmtId="165" fontId="5" fillId="0" borderId="31" xfId="0" applyNumberFormat="1" applyFont="1" applyBorder="1" applyAlignment="1">
      <alignment horizontal="center" vertical="center"/>
    </xf>
    <xf numFmtId="165" fontId="5" fillId="0" borderId="31" xfId="0" applyNumberFormat="1" applyFont="1" applyBorder="1" applyAlignment="1">
      <alignment horizontal="left" vertical="center"/>
    </xf>
    <xf numFmtId="20" fontId="6" fillId="0" borderId="0" xfId="0" applyNumberFormat="1" applyFont="1" applyAlignment="1">
      <alignment horizontal="center" vertical="center" wrapText="1"/>
    </xf>
    <xf numFmtId="20" fontId="6" fillId="0" borderId="30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5" fillId="0" borderId="30" xfId="0" applyFont="1" applyBorder="1" applyAlignment="1">
      <alignment vertical="center"/>
    </xf>
    <xf numFmtId="0" fontId="10" fillId="0" borderId="28" xfId="0" applyFont="1" applyBorder="1" applyAlignment="1">
      <alignment horizontal="center" vertical="center" wrapText="1"/>
    </xf>
    <xf numFmtId="0" fontId="11" fillId="0" borderId="27" xfId="0" applyFont="1" applyBorder="1" applyAlignment="1">
      <alignment vertical="center"/>
    </xf>
    <xf numFmtId="2" fontId="6" fillId="0" borderId="29" xfId="0" applyNumberFormat="1" applyFont="1" applyBorder="1" applyAlignment="1">
      <alignment horizontal="center" vertical="center" wrapText="1"/>
    </xf>
    <xf numFmtId="2" fontId="6" fillId="0" borderId="51" xfId="0" applyNumberFormat="1" applyFont="1" applyBorder="1" applyAlignment="1">
      <alignment horizontal="center" vertical="center" wrapText="1"/>
    </xf>
    <xf numFmtId="2" fontId="6" fillId="0" borderId="28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5" fillId="0" borderId="32" xfId="0" applyFont="1" applyBorder="1" applyAlignment="1">
      <alignment vertical="center"/>
    </xf>
    <xf numFmtId="0" fontId="6" fillId="0" borderId="34" xfId="0" applyFont="1" applyBorder="1" applyAlignment="1">
      <alignment horizontal="center" vertical="center" wrapText="1"/>
    </xf>
    <xf numFmtId="0" fontId="11" fillId="0" borderId="30" xfId="0" applyFont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15" borderId="29" xfId="0" applyNumberFormat="1" applyFont="1" applyFill="1" applyBorder="1" applyAlignment="1">
      <alignment horizontal="center" vertical="center"/>
    </xf>
    <xf numFmtId="165" fontId="5" fillId="0" borderId="28" xfId="0" applyNumberFormat="1" applyFont="1" applyBorder="1" applyAlignment="1">
      <alignment horizontal="center" vertical="center"/>
    </xf>
    <xf numFmtId="165" fontId="5" fillId="0" borderId="28" xfId="0" applyNumberFormat="1" applyFont="1" applyBorder="1" applyAlignment="1">
      <alignment horizontal="left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1" fillId="7" borderId="5" xfId="0" applyFont="1" applyFill="1" applyBorder="1" applyAlignment="1">
      <alignment vertical="center"/>
    </xf>
    <xf numFmtId="0" fontId="8" fillId="7" borderId="3" xfId="0" applyFont="1" applyFill="1" applyBorder="1" applyAlignment="1">
      <alignment horizontal="center" vertical="center"/>
    </xf>
    <xf numFmtId="164" fontId="8" fillId="7" borderId="5" xfId="0" applyNumberFormat="1" applyFont="1" applyFill="1" applyBorder="1" applyAlignment="1">
      <alignment horizontal="center" vertical="center"/>
    </xf>
    <xf numFmtId="164" fontId="8" fillId="7" borderId="8" xfId="0" applyNumberFormat="1" applyFont="1" applyFill="1" applyBorder="1" applyAlignment="1">
      <alignment horizontal="center" vertical="center"/>
    </xf>
    <xf numFmtId="0" fontId="10" fillId="11" borderId="35" xfId="0" applyFont="1" applyFill="1" applyBorder="1" applyAlignment="1">
      <alignment horizontal="center" vertical="center" wrapText="1"/>
    </xf>
    <xf numFmtId="0" fontId="11" fillId="0" borderId="32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10" fillId="11" borderId="3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2" fontId="10" fillId="3" borderId="0" xfId="0" applyNumberFormat="1" applyFont="1" applyFill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164" fontId="10" fillId="0" borderId="5" xfId="0" applyNumberFormat="1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 wrapText="1"/>
    </xf>
    <xf numFmtId="0" fontId="5" fillId="13" borderId="37" xfId="0" applyFont="1" applyFill="1" applyBorder="1" applyAlignment="1">
      <alignment vertical="center"/>
    </xf>
    <xf numFmtId="165" fontId="5" fillId="0" borderId="36" xfId="0" applyNumberFormat="1" applyFont="1" applyBorder="1" applyAlignment="1">
      <alignment horizontal="center" vertical="center"/>
    </xf>
    <xf numFmtId="165" fontId="5" fillId="0" borderId="35" xfId="0" applyNumberFormat="1" applyFont="1" applyBorder="1" applyAlignment="1">
      <alignment horizontal="left" vertical="center"/>
    </xf>
    <xf numFmtId="2" fontId="6" fillId="0" borderId="36" xfId="0" applyNumberFormat="1" applyFont="1" applyBorder="1" applyAlignment="1">
      <alignment horizontal="center" vertical="center" wrapText="1"/>
    </xf>
    <xf numFmtId="2" fontId="6" fillId="0" borderId="35" xfId="0" applyNumberFormat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5" fillId="14" borderId="32" xfId="0" applyFont="1" applyFill="1" applyBorder="1" applyAlignment="1">
      <alignment vertical="center"/>
    </xf>
    <xf numFmtId="0" fontId="5" fillId="14" borderId="30" xfId="0" applyFont="1" applyFill="1" applyBorder="1" applyAlignment="1">
      <alignment vertical="center"/>
    </xf>
    <xf numFmtId="165" fontId="5" fillId="0" borderId="8" xfId="0" applyNumberFormat="1" applyFont="1" applyBorder="1" applyAlignment="1">
      <alignment horizontal="center" vertical="center"/>
    </xf>
    <xf numFmtId="0" fontId="5" fillId="14" borderId="27" xfId="0" applyFont="1" applyFill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2" fontId="6" fillId="0" borderId="49" xfId="0" applyNumberFormat="1" applyFont="1" applyBorder="1" applyAlignment="1">
      <alignment horizontal="center" vertical="center" wrapText="1"/>
    </xf>
    <xf numFmtId="0" fontId="5" fillId="8" borderId="30" xfId="0" applyFont="1" applyFill="1" applyBorder="1" applyAlignment="1">
      <alignment vertical="center"/>
    </xf>
    <xf numFmtId="0" fontId="5" fillId="8" borderId="32" xfId="0" applyFont="1" applyFill="1" applyBorder="1" applyAlignment="1">
      <alignment vertical="center"/>
    </xf>
    <xf numFmtId="165" fontId="5" fillId="0" borderId="40" xfId="0" applyNumberFormat="1" applyFont="1" applyBorder="1" applyAlignment="1">
      <alignment horizontal="center" vertical="center"/>
    </xf>
    <xf numFmtId="165" fontId="5" fillId="0" borderId="38" xfId="0" applyNumberFormat="1" applyFont="1" applyBorder="1" applyAlignment="1">
      <alignment horizontal="center" vertical="center"/>
    </xf>
    <xf numFmtId="1" fontId="8" fillId="7" borderId="3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8" fontId="10" fillId="0" borderId="5" xfId="0" applyNumberFormat="1" applyFont="1" applyBorder="1" applyAlignment="1">
      <alignment horizontal="center" vertical="center"/>
    </xf>
    <xf numFmtId="18" fontId="2" fillId="0" borderId="5" xfId="0" applyNumberFormat="1" applyFont="1" applyBorder="1" applyAlignment="1">
      <alignment horizontal="center" vertical="center" wrapText="1"/>
    </xf>
    <xf numFmtId="165" fontId="5" fillId="0" borderId="35" xfId="0" applyNumberFormat="1" applyFont="1" applyBorder="1" applyAlignment="1">
      <alignment horizontal="center" vertical="center"/>
    </xf>
    <xf numFmtId="0" fontId="5" fillId="0" borderId="37" xfId="0" applyFont="1" applyBorder="1" applyAlignment="1">
      <alignment wrapText="1"/>
    </xf>
    <xf numFmtId="165" fontId="5" fillId="15" borderId="36" xfId="0" applyNumberFormat="1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164" fontId="10" fillId="9" borderId="5" xfId="0" applyNumberFormat="1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164" fontId="10" fillId="5" borderId="5" xfId="0" applyNumberFormat="1" applyFont="1" applyFill="1" applyBorder="1" applyAlignment="1">
      <alignment horizontal="center" vertical="center"/>
    </xf>
    <xf numFmtId="0" fontId="5" fillId="14" borderId="37" xfId="0" applyFont="1" applyFill="1" applyBorder="1" applyAlignment="1">
      <alignment vertical="center"/>
    </xf>
    <xf numFmtId="0" fontId="8" fillId="7" borderId="5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 wrapText="1"/>
    </xf>
    <xf numFmtId="164" fontId="10" fillId="10" borderId="23" xfId="0" applyNumberFormat="1" applyFont="1" applyFill="1" applyBorder="1" applyAlignment="1">
      <alignment horizontal="center" vertical="center"/>
    </xf>
    <xf numFmtId="0" fontId="5" fillId="15" borderId="37" xfId="0" applyFont="1" applyFill="1" applyBorder="1" applyAlignment="1">
      <alignment vertical="center"/>
    </xf>
    <xf numFmtId="164" fontId="8" fillId="7" borderId="23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11" borderId="0" xfId="0" applyFont="1" applyFill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164" fontId="13" fillId="5" borderId="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5" fillId="8" borderId="37" xfId="0" applyFont="1" applyFill="1" applyBorder="1" applyAlignment="1">
      <alignment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164" fontId="8" fillId="7" borderId="5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164" fontId="10" fillId="2" borderId="5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2" fontId="10" fillId="3" borderId="0" xfId="0" applyNumberFormat="1" applyFont="1" applyFill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 wrapText="1"/>
    </xf>
    <xf numFmtId="165" fontId="5" fillId="0" borderId="39" xfId="0" applyNumberFormat="1" applyFont="1" applyBorder="1" applyAlignment="1">
      <alignment horizontal="center" vertical="center"/>
    </xf>
    <xf numFmtId="165" fontId="5" fillId="15" borderId="40" xfId="0" applyNumberFormat="1" applyFont="1" applyFill="1" applyBorder="1" applyAlignment="1">
      <alignment horizontal="center" vertical="center"/>
    </xf>
    <xf numFmtId="0" fontId="6" fillId="0" borderId="27" xfId="0" applyFont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0" fillId="5" borderId="8" xfId="0" applyFont="1" applyFill="1" applyBorder="1" applyAlignment="1">
      <alignment horizontal="center" vertical="center" wrapText="1"/>
    </xf>
    <xf numFmtId="0" fontId="1" fillId="7" borderId="23" xfId="0" applyFont="1" applyFill="1" applyBorder="1" applyAlignment="1">
      <alignment vertical="center"/>
    </xf>
    <xf numFmtId="0" fontId="8" fillId="7" borderId="8" xfId="0" applyFont="1" applyFill="1" applyBorder="1" applyAlignment="1">
      <alignment horizontal="center" vertical="center"/>
    </xf>
    <xf numFmtId="0" fontId="10" fillId="11" borderId="2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164" fontId="8" fillId="7" borderId="0" xfId="0" applyNumberFormat="1" applyFont="1" applyFill="1" applyAlignment="1">
      <alignment horizontal="center" vertical="center"/>
    </xf>
    <xf numFmtId="164" fontId="15" fillId="7" borderId="0" xfId="0" applyNumberFormat="1" applyFont="1" applyFill="1" applyAlignment="1">
      <alignment horizontal="center" vertical="center"/>
    </xf>
    <xf numFmtId="165" fontId="5" fillId="15" borderId="35" xfId="0" applyNumberFormat="1" applyFont="1" applyFill="1" applyBorder="1" applyAlignment="1">
      <alignment horizontal="center" vertical="center"/>
    </xf>
    <xf numFmtId="165" fontId="5" fillId="15" borderId="35" xfId="0" applyNumberFormat="1" applyFont="1" applyFill="1" applyBorder="1" applyAlignment="1">
      <alignment horizontal="left" vertical="center"/>
    </xf>
    <xf numFmtId="0" fontId="6" fillId="15" borderId="36" xfId="0" applyFont="1" applyFill="1" applyBorder="1" applyAlignment="1">
      <alignment horizontal="center" vertical="center" wrapText="1"/>
    </xf>
    <xf numFmtId="0" fontId="6" fillId="15" borderId="37" xfId="0" applyFont="1" applyFill="1" applyBorder="1" applyAlignment="1">
      <alignment horizontal="center" vertical="center" wrapText="1"/>
    </xf>
    <xf numFmtId="2" fontId="6" fillId="15" borderId="29" xfId="0" applyNumberFormat="1" applyFont="1" applyFill="1" applyBorder="1" applyAlignment="1">
      <alignment horizontal="center" vertical="center" wrapText="1"/>
    </xf>
    <xf numFmtId="2" fontId="6" fillId="15" borderId="49" xfId="0" applyNumberFormat="1" applyFont="1" applyFill="1" applyBorder="1" applyAlignment="1">
      <alignment horizontal="center" vertical="center" wrapText="1"/>
    </xf>
    <xf numFmtId="2" fontId="6" fillId="15" borderId="35" xfId="0" applyNumberFormat="1" applyFont="1" applyFill="1" applyBorder="1" applyAlignment="1">
      <alignment horizontal="center" vertical="center" wrapText="1"/>
    </xf>
    <xf numFmtId="2" fontId="6" fillId="15" borderId="36" xfId="0" applyNumberFormat="1" applyFont="1" applyFill="1" applyBorder="1" applyAlignment="1">
      <alignment horizontal="center" vertical="center" wrapText="1"/>
    </xf>
    <xf numFmtId="0" fontId="5" fillId="15" borderId="30" xfId="0" applyFont="1" applyFill="1" applyBorder="1" applyAlignment="1">
      <alignment vertical="center"/>
    </xf>
    <xf numFmtId="165" fontId="5" fillId="15" borderId="31" xfId="0" applyNumberFormat="1" applyFont="1" applyFill="1" applyBorder="1" applyAlignment="1">
      <alignment horizontal="center" vertical="center"/>
    </xf>
    <xf numFmtId="165" fontId="5" fillId="15" borderId="31" xfId="0" applyNumberFormat="1" applyFont="1" applyFill="1" applyBorder="1" applyAlignment="1">
      <alignment horizontal="left" vertical="center"/>
    </xf>
    <xf numFmtId="0" fontId="6" fillId="15" borderId="0" xfId="0" applyFont="1" applyFill="1" applyAlignment="1">
      <alignment horizontal="center" vertical="center" wrapText="1"/>
    </xf>
    <xf numFmtId="0" fontId="6" fillId="15" borderId="30" xfId="0" applyFont="1" applyFill="1" applyBorder="1" applyAlignment="1">
      <alignment horizontal="center" vertical="center" wrapText="1"/>
    </xf>
    <xf numFmtId="2" fontId="6" fillId="15" borderId="0" xfId="0" applyNumberFormat="1" applyFont="1" applyFill="1" applyAlignment="1">
      <alignment horizontal="center" vertical="center" wrapText="1"/>
    </xf>
    <xf numFmtId="2" fontId="6" fillId="15" borderId="50" xfId="0" applyNumberFormat="1" applyFont="1" applyFill="1" applyBorder="1" applyAlignment="1">
      <alignment horizontal="center" vertical="center" wrapText="1"/>
    </xf>
    <xf numFmtId="2" fontId="6" fillId="15" borderId="31" xfId="0" applyNumberFormat="1" applyFont="1" applyFill="1" applyBorder="1" applyAlignment="1">
      <alignment horizontal="center" vertical="center" wrapText="1"/>
    </xf>
    <xf numFmtId="2" fontId="6" fillId="15" borderId="51" xfId="0" applyNumberFormat="1" applyFont="1" applyFill="1" applyBorder="1" applyAlignment="1">
      <alignment horizontal="center" vertical="center" wrapText="1"/>
    </xf>
    <xf numFmtId="2" fontId="6" fillId="15" borderId="28" xfId="0" applyNumberFormat="1" applyFont="1" applyFill="1" applyBorder="1" applyAlignment="1">
      <alignment horizontal="center" vertical="center" wrapText="1"/>
    </xf>
    <xf numFmtId="2" fontId="6" fillId="15" borderId="27" xfId="0" applyNumberFormat="1" applyFont="1" applyFill="1" applyBorder="1" applyAlignment="1">
      <alignment horizontal="center" vertical="center" wrapText="1"/>
    </xf>
    <xf numFmtId="165" fontId="5" fillId="15" borderId="8" xfId="0" applyNumberFormat="1" applyFont="1" applyFill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165" fontId="5" fillId="15" borderId="14" xfId="0" applyNumberFormat="1" applyFont="1" applyFill="1" applyBorder="1" applyAlignment="1">
      <alignment horizontal="center" vertical="center"/>
    </xf>
    <xf numFmtId="165" fontId="5" fillId="0" borderId="49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2" fontId="6" fillId="15" borderId="34" xfId="0" applyNumberFormat="1" applyFont="1" applyFill="1" applyBorder="1" applyAlignment="1">
      <alignment horizontal="center" vertical="center" wrapText="1"/>
    </xf>
    <xf numFmtId="165" fontId="5" fillId="15" borderId="49" xfId="0" applyNumberFormat="1" applyFont="1" applyFill="1" applyBorder="1" applyAlignment="1">
      <alignment horizontal="center" vertical="center"/>
    </xf>
    <xf numFmtId="165" fontId="5" fillId="15" borderId="33" xfId="0" applyNumberFormat="1" applyFont="1" applyFill="1" applyBorder="1" applyAlignment="1">
      <alignment horizontal="left" vertical="center"/>
    </xf>
    <xf numFmtId="0" fontId="6" fillId="15" borderId="34" xfId="0" applyFont="1" applyFill="1" applyBorder="1" applyAlignment="1">
      <alignment horizontal="center" vertical="center" wrapText="1"/>
    </xf>
    <xf numFmtId="0" fontId="6" fillId="15" borderId="32" xfId="0" applyFont="1" applyFill="1" applyBorder="1" applyAlignment="1">
      <alignment horizontal="center" vertical="center" wrapText="1"/>
    </xf>
    <xf numFmtId="165" fontId="5" fillId="15" borderId="28" xfId="0" applyNumberFormat="1" applyFont="1" applyFill="1" applyBorder="1" applyAlignment="1">
      <alignment horizontal="left" vertical="center"/>
    </xf>
    <xf numFmtId="0" fontId="6" fillId="15" borderId="29" xfId="0" applyFont="1" applyFill="1" applyBorder="1" applyAlignment="1">
      <alignment horizontal="center" vertical="center" wrapText="1"/>
    </xf>
    <xf numFmtId="0" fontId="6" fillId="15" borderId="27" xfId="0" applyFont="1" applyFill="1" applyBorder="1" applyAlignment="1">
      <alignment horizontal="center" vertical="center" wrapText="1"/>
    </xf>
    <xf numFmtId="2" fontId="6" fillId="15" borderId="30" xfId="0" applyNumberFormat="1" applyFont="1" applyFill="1" applyBorder="1" applyAlignment="1">
      <alignment horizontal="center" vertical="center" wrapText="1"/>
    </xf>
    <xf numFmtId="2" fontId="6" fillId="15" borderId="28" xfId="0" applyNumberFormat="1" applyFont="1" applyFill="1" applyBorder="1" applyAlignment="1">
      <alignment horizontal="center" vertical="center"/>
    </xf>
    <xf numFmtId="2" fontId="6" fillId="15" borderId="31" xfId="0" applyNumberFormat="1" applyFont="1" applyFill="1" applyBorder="1" applyAlignment="1">
      <alignment horizontal="center" vertical="center"/>
    </xf>
    <xf numFmtId="2" fontId="6" fillId="15" borderId="35" xfId="0" applyNumberFormat="1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vertical="center"/>
    </xf>
    <xf numFmtId="165" fontId="5" fillId="15" borderId="28" xfId="0" applyNumberFormat="1" applyFont="1" applyFill="1" applyBorder="1" applyAlignment="1">
      <alignment horizontal="center" vertical="center"/>
    </xf>
    <xf numFmtId="164" fontId="8" fillId="8" borderId="8" xfId="0" applyNumberFormat="1" applyFont="1" applyFill="1" applyBorder="1" applyAlignment="1">
      <alignment horizontal="center" vertical="center"/>
    </xf>
    <xf numFmtId="2" fontId="6" fillId="0" borderId="54" xfId="0" applyNumberFormat="1" applyFont="1" applyBorder="1" applyAlignment="1">
      <alignment horizontal="center" vertical="center" wrapText="1"/>
    </xf>
    <xf numFmtId="2" fontId="6" fillId="15" borderId="54" xfId="0" applyNumberFormat="1" applyFont="1" applyFill="1" applyBorder="1" applyAlignment="1">
      <alignment horizontal="center" vertical="center" wrapText="1"/>
    </xf>
    <xf numFmtId="2" fontId="6" fillId="0" borderId="37" xfId="0" applyNumberFormat="1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2" fontId="6" fillId="0" borderId="29" xfId="0" applyNumberFormat="1" applyFont="1" applyBorder="1" applyAlignment="1">
      <alignment horizontal="center" vertical="center"/>
    </xf>
    <xf numFmtId="0" fontId="5" fillId="0" borderId="0" xfId="0" applyFont="1" applyAlignment="1" applyProtection="1">
      <alignment vertical="top"/>
      <protection locked="0"/>
    </xf>
    <xf numFmtId="0" fontId="2" fillId="0" borderId="0" xfId="0" applyFont="1" applyProtection="1">
      <protection locked="0"/>
    </xf>
    <xf numFmtId="0" fontId="12" fillId="0" borderId="5" xfId="0" applyFont="1" applyBorder="1" applyAlignment="1">
      <alignment horizontal="center" vertical="center" wrapText="1"/>
    </xf>
    <xf numFmtId="2" fontId="10" fillId="0" borderId="4" xfId="0" applyNumberFormat="1" applyFont="1" applyBorder="1" applyAlignment="1">
      <alignment horizontal="center" vertical="center" wrapText="1"/>
    </xf>
    <xf numFmtId="0" fontId="7" fillId="12" borderId="17" xfId="0" applyFont="1" applyFill="1" applyBorder="1" applyAlignment="1">
      <alignment horizontal="center" vertical="top"/>
    </xf>
    <xf numFmtId="0" fontId="16" fillId="3" borderId="25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18" fontId="10" fillId="5" borderId="6" xfId="0" applyNumberFormat="1" applyFont="1" applyFill="1" applyBorder="1" applyAlignment="1">
      <alignment horizontal="center" vertical="center"/>
    </xf>
    <xf numFmtId="18" fontId="10" fillId="5" borderId="10" xfId="0" applyNumberFormat="1" applyFont="1" applyFill="1" applyBorder="1" applyAlignment="1">
      <alignment horizontal="center" vertical="center"/>
    </xf>
    <xf numFmtId="18" fontId="10" fillId="5" borderId="15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18" fontId="10" fillId="5" borderId="24" xfId="0" applyNumberFormat="1" applyFont="1" applyFill="1" applyBorder="1" applyAlignment="1">
      <alignment horizontal="center" vertical="center"/>
    </xf>
    <xf numFmtId="18" fontId="10" fillId="5" borderId="25" xfId="0" applyNumberFormat="1" applyFont="1" applyFill="1" applyBorder="1" applyAlignment="1">
      <alignment horizontal="center" vertical="center"/>
    </xf>
    <xf numFmtId="18" fontId="10" fillId="5" borderId="21" xfId="0" applyNumberFormat="1" applyFont="1" applyFill="1" applyBorder="1" applyAlignment="1">
      <alignment horizontal="center" vertical="center"/>
    </xf>
    <xf numFmtId="18" fontId="10" fillId="5" borderId="18" xfId="0" applyNumberFormat="1" applyFont="1" applyFill="1" applyBorder="1" applyAlignment="1">
      <alignment horizontal="center" vertical="center"/>
    </xf>
    <xf numFmtId="164" fontId="10" fillId="5" borderId="6" xfId="0" applyNumberFormat="1" applyFont="1" applyFill="1" applyBorder="1" applyAlignment="1">
      <alignment horizontal="center" vertical="center"/>
    </xf>
    <xf numFmtId="164" fontId="10" fillId="5" borderId="10" xfId="0" applyNumberFormat="1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164" fontId="10" fillId="5" borderId="15" xfId="0" applyNumberFormat="1" applyFont="1" applyFill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 wrapText="1"/>
    </xf>
    <xf numFmtId="164" fontId="10" fillId="0" borderId="15" xfId="0" applyNumberFormat="1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2" fontId="10" fillId="0" borderId="9" xfId="0" applyNumberFormat="1" applyFont="1" applyBorder="1" applyAlignment="1">
      <alignment horizontal="center" vertical="center" wrapText="1"/>
    </xf>
    <xf numFmtId="2" fontId="10" fillId="0" borderId="11" xfId="0" applyNumberFormat="1" applyFont="1" applyBorder="1" applyAlignment="1">
      <alignment horizontal="center" vertical="center" wrapText="1"/>
    </xf>
    <xf numFmtId="2" fontId="10" fillId="0" borderId="14" xfId="0" applyNumberFormat="1" applyFont="1" applyBorder="1" applyAlignment="1">
      <alignment horizontal="center" vertical="center" wrapText="1"/>
    </xf>
    <xf numFmtId="2" fontId="10" fillId="0" borderId="7" xfId="0" applyNumberFormat="1" applyFont="1" applyBorder="1" applyAlignment="1">
      <alignment horizontal="center" vertical="center" wrapText="1"/>
    </xf>
    <xf numFmtId="2" fontId="10" fillId="0" borderId="12" xfId="0" applyNumberFormat="1" applyFont="1" applyBorder="1" applyAlignment="1">
      <alignment horizontal="center" vertical="center" wrapText="1"/>
    </xf>
    <xf numFmtId="2" fontId="10" fillId="0" borderId="16" xfId="0" applyNumberFormat="1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18" fontId="2" fillId="0" borderId="6" xfId="0" applyNumberFormat="1" applyFont="1" applyBorder="1" applyAlignment="1">
      <alignment horizontal="center" vertical="center" wrapText="1"/>
    </xf>
    <xf numFmtId="18" fontId="2" fillId="0" borderId="15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18" fontId="10" fillId="0" borderId="6" xfId="0" applyNumberFormat="1" applyFont="1" applyBorder="1" applyAlignment="1">
      <alignment horizontal="center" vertical="center"/>
    </xf>
    <xf numFmtId="18" fontId="10" fillId="0" borderId="15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2" fontId="10" fillId="0" borderId="8" xfId="0" applyNumberFormat="1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20" xfId="0" applyNumberFormat="1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164" fontId="10" fillId="10" borderId="9" xfId="0" applyNumberFormat="1" applyFont="1" applyFill="1" applyBorder="1" applyAlignment="1">
      <alignment horizontal="center" vertical="center"/>
    </xf>
    <xf numFmtId="164" fontId="10" fillId="10" borderId="14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18" fontId="2" fillId="5" borderId="6" xfId="0" applyNumberFormat="1" applyFont="1" applyFill="1" applyBorder="1" applyAlignment="1">
      <alignment horizontal="center" vertical="center" wrapText="1"/>
    </xf>
    <xf numFmtId="18" fontId="2" fillId="5" borderId="10" xfId="0" applyNumberFormat="1" applyFont="1" applyFill="1" applyBorder="1" applyAlignment="1">
      <alignment horizontal="center" vertical="center" wrapText="1"/>
    </xf>
    <xf numFmtId="18" fontId="2" fillId="5" borderId="15" xfId="0" applyNumberFormat="1" applyFont="1" applyFill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18" fontId="10" fillId="0" borderId="10" xfId="0" applyNumberFormat="1" applyFont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2" fontId="10" fillId="0" borderId="52" xfId="0" applyNumberFormat="1" applyFont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2" fontId="12" fillId="0" borderId="8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2" fontId="12" fillId="0" borderId="52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164" fontId="12" fillId="0" borderId="24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center" vertical="center"/>
    </xf>
    <xf numFmtId="164" fontId="12" fillId="0" borderId="26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/>
    </xf>
    <xf numFmtId="0" fontId="10" fillId="5" borderId="2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164" fontId="10" fillId="5" borderId="6" xfId="0" applyNumberFormat="1" applyFont="1" applyFill="1" applyBorder="1" applyAlignment="1">
      <alignment horizontal="center" vertical="center" wrapText="1"/>
    </xf>
    <xf numFmtId="164" fontId="10" fillId="5" borderId="15" xfId="0" applyNumberFormat="1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right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" fillId="16" borderId="0" xfId="0" applyFont="1" applyFill="1" applyAlignment="1">
      <alignment horizontal="left" vertical="center" wrapText="1"/>
    </xf>
    <xf numFmtId="0" fontId="1" fillId="16" borderId="0" xfId="0" applyFont="1" applyFill="1" applyAlignment="1">
      <alignment horizontal="center" vertical="center" wrapText="1"/>
    </xf>
    <xf numFmtId="0" fontId="16" fillId="17" borderId="28" xfId="0" applyFont="1" applyFill="1" applyBorder="1" applyAlignment="1">
      <alignment horizontal="center" vertical="center"/>
    </xf>
    <xf numFmtId="0" fontId="16" fillId="17" borderId="2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164" fontId="12" fillId="5" borderId="8" xfId="0" applyNumberFormat="1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 wrapText="1"/>
    </xf>
    <xf numFmtId="2" fontId="10" fillId="5" borderId="8" xfId="0" applyNumberFormat="1" applyFont="1" applyFill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5" xfId="1" applyFont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FF"/>
      <color rgb="FFB466BA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customXml" Target="../customXml/item1.xml"/><Relationship Id="rId21" Type="http://schemas.openxmlformats.org/officeDocument/2006/relationships/externalLink" Target="externalLinks/externalLink18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microsoft.com/office/2017/10/relationships/person" Target="persons/person.xml"/><Relationship Id="rId40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rtal.issworld.com/Documents%20and%20Settings/shentan/Local%20Settings/Temporary%20Internet%20Files/Content.Outlook/I7ECLJDQ/Exec_Sign_Off_Baseline_template_SGP%20-%20Singapore%20180212%20-%20Jason%20(28021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rtal.realtyservices.citigroup.net/Documents%20and%20Settings/mv74354/Local%20Settings/Temporary%20Internet%20Files/Content.Outlook/FQ74G4JV/Change%20Control%20Form%20v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pany%20Tier%20-%20ISS%20Listin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DOCUME~1/SHANNO~1.SYM/LOCALS~1/Temp/c.notes.data/ERP/ERP_SWS_Filter_Sol_EduU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Documents%20and%20Settings/shentan/WORKSTATION.R3/Citibank%20-%20Apr/Citi%20-%20change%20contol/Singapore/Approved%20change%20notice/2013%20Change%20Request_SGP_CR00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Users/shentan/Desktop/For%20RFP%20excercise/CGH%20IB%20cost%20breakdown-%2012062014%204%2028pm%20(For%20submission)_R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Documents%20and%20Settings/shentan/WORKSTATION.R3/Citibank%20-%20Apr/Singapore/Citibank%20-%20Baseline%20Tracker%20(SGP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WINDOWS/TEMP/ERP_pcA_HRCAN_10.5_092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Users/hmehta/Documents/Heman%20C%20drive/2012%20Citi%20EMEA/Citi%202012%20Service%20Delivery%20Changes%20ALL%2019111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Documents%20and%20Settings/shentan/WORKSTATION.R3/Citibank%20-%20Apr/Citi%20-%20change%20contol/Singapore/Approved%20change%20notice/2013%20APAC%20Baseline%20Consolidation_201304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gaifoon.lai\Desktop\Kelvin-SingHealth\Rework%20of%20Kelvin\SGH_Price_Breakdown__R4%20with%20variation,%20local%20and%20foreigner%20breakdow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y-fileprint1\www\DOCUME~1\PATRIC~1\LOCALS~1\Temp\C.Lotus.Notes.Data\KP_TECHSUPPORT_PUB_US_0410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y-regional\WWW\Pricing\erp\Pacific\Visual%20Cafe\VC%203.1\Enterprise%20Suite\ERP_US_vcent3.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My%20Documents/~006298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rtal.realtyservices.citigroup.net/DOCUME~1/twiik/LOCALS~1/Temp/Temporary%20Directory%201%20for%20EMEA%20Baseline%20Consolidation%20v2-05.zip/EMEA%20Baseline%20Consolidation%20v2-05%205%20March%20201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Housekeeping%20(Cleaning)%20Services/Housekeeping%20Yr-7%20Extension%20(28Jul17)/2nd%20Compilation/ISS%20Yr7-E%202nd%20Price%20Proposal%20(5Marl18)%20Karin/4.%20SNEC%20Year%201%20-%207%20Price%20Adjustment%20070817_29Nov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GPO/GPO%20-%20Services%20&amp;%20Non%20Med%20Con/GPO%20-%20Housekeeping%20(Cleaning)%20Services/Year%202012%20to%202018/GPMR%2001311_Year%204%20(Option%20Year)/1.%20Year%204%20Annual%20Price%20Adjustment/8.%20SGH%20Year%204%20Core%20Inflation%20Rate_250716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Users/spaagc/AppData/Local/Microsoft/Windows/Temporary%20Internet%20Files/Content.Outlook/5MHITF16/SingHealth%20-%20Breakdown%20of%20manpower%20cost%20(Formula%20NEW%20YR%204-6)%20120215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y-fileprint1\www\DOCUME~1\tina_su\LOCALS~1\Temp\c.lotus.notes.data\KP_TECHSUPPORT_PUB_US_0410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rtal.issworld.com/CRS/CRS%20Common/FINANCIAL/Shan%20Shan/P2P%20Discover%20Viewer%20Downloads/P2P%20Viewer%20GL_Global_Mthly_Expense_Ledg%20(2009-07JUL)%202009072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Documents%20and%20Settings/shentan/WORKSTATION.R3/Citibank%20-%20Apr/Citi%20-%20change%20contol/Singapore/Approved%20change%20notice/2013%20Change%20Request_SGP_CR01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Users/adminNUS/AppData/Local/Microsoft/Windows/Temporary%20Internet%20Files/Content.Outlook/VFOPB6BX/2013%20APAC%20Baseline%20Consolidation_20130422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twiik\LOCALS~1\Temp\Temporary%20Directory%201%20for%20EMEA%20Baseline%20Consolidation%20v2-05.zip\EMEA%20Baseline%20Consolidation%20v2-05%205%20March%20201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WINDOWS/TEMP/Dec2000Plat&amp;GoldSku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rtal.issworld.com/Users/hmehta/Documents/Heman%20C%20drive/2012%20APAC/Start/baseline%20compare%20phase%20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Users/shentan/Documents/Workstation_SH/MOM/Index%20(updated%20Jun-2017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WINDOWS/TEMP/c.lotus.notes.data/~670928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Users/hmehta/Documents/Heman%20C%20drive/2014%20Citi%20EMEA/2014%20Baseline/ALL%20Stopping%20Saves%202014%20v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hs-doc/Users/hmehta/Documents/Heman%20C%20drive/2012%20Citi%20EMEA/Baselines%20WB/Milda/MV%20Baseline%20Consolidation%20v9%20-%201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y-fileprint1\www\Pricing\USA\ERPs\ERP_WFX10.02_07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No 1 Introduction"/>
      <sheetName val="No 2 Change Notice"/>
      <sheetName val="No 3 Baseline data"/>
      <sheetName val="No 3a details"/>
      <sheetName val="No 4 Subcontractors"/>
      <sheetName val="No 5 Financial Input"/>
      <sheetName val="No 6 Delivery Structure"/>
      <sheetName val="No 7 Staff Summary"/>
      <sheetName val="No 8 Risk Assessment"/>
      <sheetName val="Sheet1"/>
      <sheetName val="Reference"/>
      <sheetName val="Lookup"/>
      <sheetName val="Maintenance Group"/>
      <sheetName val="Equipment Type"/>
      <sheetName val="Control"/>
    </sheetNames>
    <sheetDataSet>
      <sheetData sheetId="0"/>
      <sheetData sheetId="1">
        <row r="4">
          <cell r="C4" t="str">
            <v>Singapore</v>
          </cell>
        </row>
        <row r="21">
          <cell r="D2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Change Control Form"/>
    </sheetNames>
    <sheetDataSet>
      <sheetData sheetId="0">
        <row r="2">
          <cell r="B2">
            <v>2012</v>
          </cell>
          <cell r="E2" t="str">
            <v>Yes</v>
          </cell>
          <cell r="I2">
            <v>1</v>
          </cell>
        </row>
        <row r="3">
          <cell r="E3" t="str">
            <v>No</v>
          </cell>
          <cell r="I3">
            <v>2</v>
          </cell>
        </row>
        <row r="4">
          <cell r="I4">
            <v>3</v>
          </cell>
        </row>
        <row r="5">
          <cell r="I5">
            <v>4</v>
          </cell>
        </row>
        <row r="6">
          <cell r="I6">
            <v>5</v>
          </cell>
        </row>
        <row r="7">
          <cell r="I7">
            <v>6</v>
          </cell>
        </row>
        <row r="8">
          <cell r="I8">
            <v>7</v>
          </cell>
        </row>
        <row r="9">
          <cell r="I9">
            <v>8</v>
          </cell>
        </row>
        <row r="10">
          <cell r="I10">
            <v>9</v>
          </cell>
        </row>
        <row r="11">
          <cell r="I11">
            <v>10</v>
          </cell>
        </row>
        <row r="12">
          <cell r="I12">
            <v>11</v>
          </cell>
        </row>
        <row r="13">
          <cell r="I13">
            <v>12</v>
          </cell>
        </row>
        <row r="14">
          <cell r="I14">
            <v>13</v>
          </cell>
        </row>
        <row r="15">
          <cell r="I15">
            <v>14</v>
          </cell>
        </row>
        <row r="16">
          <cell r="I16">
            <v>15</v>
          </cell>
        </row>
        <row r="17">
          <cell r="I17">
            <v>16</v>
          </cell>
        </row>
        <row r="18">
          <cell r="I18">
            <v>17</v>
          </cell>
        </row>
        <row r="19">
          <cell r="I19">
            <v>18</v>
          </cell>
        </row>
        <row r="20">
          <cell r="I20">
            <v>19</v>
          </cell>
        </row>
        <row r="21">
          <cell r="I21">
            <v>20</v>
          </cell>
        </row>
        <row r="22">
          <cell r="I22">
            <v>21</v>
          </cell>
        </row>
        <row r="23">
          <cell r="I23">
            <v>22</v>
          </cell>
        </row>
        <row r="24">
          <cell r="I24">
            <v>23</v>
          </cell>
        </row>
        <row r="25">
          <cell r="I25">
            <v>24</v>
          </cell>
        </row>
        <row r="26">
          <cell r="I26">
            <v>25</v>
          </cell>
        </row>
        <row r="27">
          <cell r="I27">
            <v>26</v>
          </cell>
        </row>
        <row r="28">
          <cell r="I28">
            <v>27</v>
          </cell>
        </row>
        <row r="29">
          <cell r="I29">
            <v>28</v>
          </cell>
        </row>
        <row r="30">
          <cell r="I30">
            <v>29</v>
          </cell>
        </row>
        <row r="31">
          <cell r="I31">
            <v>30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(payroll)"/>
      <sheetName val="ALL-MOM"/>
      <sheetName val="MOM-name not in payroll"/>
      <sheetName val="JUST APPROVED"/>
      <sheetName val="name not in MOM"/>
      <sheetName val="ALL-AUDIT"/>
      <sheetName val="Annual Adjust."/>
    </sheetNames>
    <sheetDataSet>
      <sheetData sheetId="0">
        <row r="3">
          <cell r="A3" t="str">
            <v>EMP_NAME</v>
          </cell>
        </row>
      </sheetData>
      <sheetData sheetId="1"/>
      <sheetData sheetId="2"/>
      <sheetData sheetId="3"/>
      <sheetData sheetId="4"/>
      <sheetData sheetId="5">
        <row r="2">
          <cell r="A2" t="str">
            <v xml:space="preserve">Worker Name </v>
          </cell>
          <cell r="B2" t="str">
            <v>WP No.</v>
          </cell>
          <cell r="C2" t="str">
            <v>DOA</v>
          </cell>
          <cell r="D2" t="str">
            <v>WP Status</v>
          </cell>
          <cell r="E2" t="str">
            <v>WP Expiry Date</v>
          </cell>
          <cell r="F2" t="str">
            <v>COMPANY TIER</v>
          </cell>
          <cell r="G2" t="str">
            <v>Skilled Indicator</v>
          </cell>
          <cell r="H2" t="str">
            <v>Monthly Levy Rate</v>
          </cell>
          <cell r="I2" t="str">
            <v>Tier Commencement Date</v>
          </cell>
        </row>
        <row r="3">
          <cell r="A3" t="str">
            <v>A MALATHI A/P ARUMADORAI</v>
          </cell>
          <cell r="B3" t="str">
            <v>5 2918851-</v>
          </cell>
          <cell r="C3">
            <v>36259</v>
          </cell>
          <cell r="D3" t="str">
            <v>WP LIVE</v>
          </cell>
          <cell r="E3">
            <v>41272</v>
          </cell>
          <cell r="F3" t="str">
            <v>TIER 1</v>
          </cell>
          <cell r="G3" t="str">
            <v>SKILLED</v>
          </cell>
          <cell r="H3">
            <v>180</v>
          </cell>
          <cell r="I3">
            <v>36259</v>
          </cell>
        </row>
        <row r="4">
          <cell r="A4" t="str">
            <v>A RAJAMOHAN A/L D ARUNASALAM</v>
          </cell>
          <cell r="B4" t="str">
            <v>5 00716436</v>
          </cell>
          <cell r="C4">
            <v>35681</v>
          </cell>
          <cell r="D4" t="str">
            <v>WP LIVE</v>
          </cell>
          <cell r="E4">
            <v>41122</v>
          </cell>
          <cell r="F4" t="str">
            <v>TIER 1</v>
          </cell>
          <cell r="G4" t="str">
            <v>UNSKILLED</v>
          </cell>
          <cell r="H4">
            <v>280</v>
          </cell>
          <cell r="I4">
            <v>39661</v>
          </cell>
        </row>
        <row r="5">
          <cell r="A5" t="str">
            <v>A VEMALA DEVI A/P ANDREW VINCENT</v>
          </cell>
          <cell r="B5" t="str">
            <v>4 03758620</v>
          </cell>
          <cell r="C5">
            <v>40728</v>
          </cell>
          <cell r="D5" t="str">
            <v>WP APPROVED</v>
          </cell>
          <cell r="F5" t="str">
            <v>TIER 1</v>
          </cell>
          <cell r="G5" t="str">
            <v>UNSKILLED</v>
          </cell>
          <cell r="H5">
            <v>280</v>
          </cell>
          <cell r="I5">
            <v>40728</v>
          </cell>
        </row>
        <row r="6">
          <cell r="A6" t="str">
            <v>ABDUL LATIF BIN ABDUL GHANI</v>
          </cell>
          <cell r="B6" t="str">
            <v>4 03472689</v>
          </cell>
          <cell r="C6">
            <v>40659</v>
          </cell>
          <cell r="D6" t="str">
            <v>WP LIVE</v>
          </cell>
          <cell r="E6">
            <v>41397</v>
          </cell>
          <cell r="F6" t="str">
            <v>TIER 1</v>
          </cell>
          <cell r="G6" t="str">
            <v>SKILLED</v>
          </cell>
          <cell r="H6">
            <v>180</v>
          </cell>
          <cell r="I6">
            <v>40725</v>
          </cell>
        </row>
        <row r="7">
          <cell r="A7" t="str">
            <v>ABEL BIN JAMES</v>
          </cell>
          <cell r="B7" t="str">
            <v>4 03076503</v>
          </cell>
          <cell r="C7">
            <v>40045</v>
          </cell>
          <cell r="D7" t="str">
            <v>WP LIVE</v>
          </cell>
          <cell r="E7">
            <v>40785</v>
          </cell>
          <cell r="F7" t="str">
            <v>TIER 1</v>
          </cell>
          <cell r="G7" t="str">
            <v>SKILLED</v>
          </cell>
          <cell r="H7">
            <v>180</v>
          </cell>
          <cell r="I7">
            <v>40045</v>
          </cell>
        </row>
        <row r="8">
          <cell r="A8" t="str">
            <v>AKILA A/P RAMAN</v>
          </cell>
          <cell r="B8" t="str">
            <v>3 5637469-</v>
          </cell>
          <cell r="C8">
            <v>35054</v>
          </cell>
          <cell r="D8" t="str">
            <v>WP LIVE</v>
          </cell>
          <cell r="E8">
            <v>41036</v>
          </cell>
          <cell r="F8" t="str">
            <v>TIER 1</v>
          </cell>
          <cell r="G8" t="str">
            <v>UNSKILLED</v>
          </cell>
          <cell r="H8">
            <v>280</v>
          </cell>
          <cell r="I8">
            <v>39569</v>
          </cell>
        </row>
        <row r="9">
          <cell r="A9" t="str">
            <v>ALBERT LIM WEE JIE</v>
          </cell>
          <cell r="B9" t="str">
            <v>4 03675989</v>
          </cell>
          <cell r="C9">
            <v>40702</v>
          </cell>
          <cell r="D9" t="str">
            <v>WP LIVE</v>
          </cell>
          <cell r="E9">
            <v>41441</v>
          </cell>
          <cell r="F9" t="str">
            <v>TIER 1</v>
          </cell>
          <cell r="G9" t="str">
            <v>SKILLED</v>
          </cell>
          <cell r="H9">
            <v>180</v>
          </cell>
          <cell r="I9">
            <v>40702</v>
          </cell>
        </row>
        <row r="10">
          <cell r="A10" t="str">
            <v>ALIAS BIN TALIB</v>
          </cell>
          <cell r="B10" t="str">
            <v>3 44632235</v>
          </cell>
          <cell r="C10">
            <v>40723</v>
          </cell>
          <cell r="D10" t="str">
            <v>WP APPROVED</v>
          </cell>
          <cell r="F10" t="str">
            <v>TIER 1</v>
          </cell>
          <cell r="G10" t="str">
            <v>SKILLED</v>
          </cell>
          <cell r="H10">
            <v>180</v>
          </cell>
          <cell r="I10">
            <v>40725</v>
          </cell>
        </row>
        <row r="11">
          <cell r="A11" t="str">
            <v>AMARAPAZI A/P SHAIK MOHAMMAD</v>
          </cell>
          <cell r="B11" t="str">
            <v>3 60749967</v>
          </cell>
          <cell r="C11">
            <v>36930</v>
          </cell>
          <cell r="D11" t="str">
            <v>WP LIVE</v>
          </cell>
          <cell r="E11">
            <v>41324</v>
          </cell>
          <cell r="F11" t="str">
            <v>TIER 1</v>
          </cell>
          <cell r="G11" t="str">
            <v>UNSKILLED</v>
          </cell>
          <cell r="H11">
            <v>280</v>
          </cell>
          <cell r="I11">
            <v>39873</v>
          </cell>
        </row>
        <row r="12">
          <cell r="A12" t="str">
            <v>AMOOTHA A/P TANNIMALAI</v>
          </cell>
          <cell r="B12" t="str">
            <v>3 54277212</v>
          </cell>
          <cell r="C12">
            <v>37319</v>
          </cell>
          <cell r="D12" t="str">
            <v>WP LIVE</v>
          </cell>
          <cell r="E12">
            <v>41306</v>
          </cell>
          <cell r="F12" t="str">
            <v>TIER 1</v>
          </cell>
          <cell r="G12" t="str">
            <v>UNSKILLED</v>
          </cell>
          <cell r="H12">
            <v>280</v>
          </cell>
          <cell r="I12">
            <v>40269</v>
          </cell>
        </row>
        <row r="13">
          <cell r="A13" t="str">
            <v>AMUTHA A/P K RENGASAMY</v>
          </cell>
          <cell r="B13" t="str">
            <v>3 58421598</v>
          </cell>
          <cell r="C13">
            <v>36524</v>
          </cell>
          <cell r="D13" t="str">
            <v>WP LIVE</v>
          </cell>
          <cell r="E13">
            <v>41281</v>
          </cell>
          <cell r="F13" t="str">
            <v>TIER 1</v>
          </cell>
          <cell r="G13" t="str">
            <v>UNSKILLED</v>
          </cell>
          <cell r="H13">
            <v>280</v>
          </cell>
          <cell r="I13">
            <v>36524</v>
          </cell>
        </row>
        <row r="14">
          <cell r="A14" t="str">
            <v>AMUTHA SUPPIAH</v>
          </cell>
          <cell r="B14" t="str">
            <v>3 68216127</v>
          </cell>
          <cell r="C14">
            <v>36579</v>
          </cell>
          <cell r="D14" t="str">
            <v>WP LIVE</v>
          </cell>
          <cell r="E14">
            <v>41296</v>
          </cell>
          <cell r="F14" t="str">
            <v>TIER 1</v>
          </cell>
          <cell r="G14" t="str">
            <v>UNSKILLED</v>
          </cell>
          <cell r="H14">
            <v>280</v>
          </cell>
          <cell r="I14">
            <v>36579</v>
          </cell>
        </row>
        <row r="15">
          <cell r="A15" t="str">
            <v>ANDY RAMEO BIN DARISAH</v>
          </cell>
          <cell r="B15" t="str">
            <v>4 03034088</v>
          </cell>
          <cell r="C15">
            <v>40206</v>
          </cell>
          <cell r="D15" t="str">
            <v>WP LIVE</v>
          </cell>
          <cell r="E15">
            <v>40942</v>
          </cell>
          <cell r="F15" t="str">
            <v>TIER 1</v>
          </cell>
          <cell r="G15" t="str">
            <v>SKILLED</v>
          </cell>
          <cell r="H15">
            <v>180</v>
          </cell>
          <cell r="I15">
            <v>40725</v>
          </cell>
        </row>
        <row r="16">
          <cell r="A16" t="str">
            <v>ANG SZE CHA</v>
          </cell>
          <cell r="B16" t="str">
            <v>4 03439096</v>
          </cell>
          <cell r="C16">
            <v>40324</v>
          </cell>
          <cell r="D16" t="str">
            <v>WP LIVE</v>
          </cell>
          <cell r="E16">
            <v>41075</v>
          </cell>
          <cell r="F16" t="str">
            <v>TIER 1</v>
          </cell>
          <cell r="G16" t="str">
            <v>SKILLED</v>
          </cell>
          <cell r="H16">
            <v>180</v>
          </cell>
          <cell r="I16">
            <v>40324</v>
          </cell>
        </row>
        <row r="17">
          <cell r="A17" t="str">
            <v>ANG YOU SIM</v>
          </cell>
          <cell r="B17" t="str">
            <v>4 02066466</v>
          </cell>
          <cell r="C17">
            <v>40396</v>
          </cell>
          <cell r="D17" t="str">
            <v>WP LIVE</v>
          </cell>
          <cell r="E17">
            <v>41140</v>
          </cell>
          <cell r="F17" t="str">
            <v>TIER 1</v>
          </cell>
          <cell r="G17" t="str">
            <v>SKILLED</v>
          </cell>
          <cell r="H17">
            <v>180</v>
          </cell>
          <cell r="I17">
            <v>40396</v>
          </cell>
        </row>
        <row r="18">
          <cell r="A18" t="str">
            <v>ANGELA DEVI A/P SINNA THAMBY</v>
          </cell>
          <cell r="B18" t="str">
            <v>3 83871018</v>
          </cell>
          <cell r="C18">
            <v>35024</v>
          </cell>
          <cell r="D18" t="str">
            <v>WP LIVE</v>
          </cell>
          <cell r="E18">
            <v>41293</v>
          </cell>
          <cell r="F18" t="str">
            <v>TIER 1</v>
          </cell>
          <cell r="G18" t="str">
            <v>UNSKILLED</v>
          </cell>
          <cell r="H18">
            <v>280</v>
          </cell>
          <cell r="I18">
            <v>35024</v>
          </cell>
        </row>
        <row r="19">
          <cell r="A19" t="str">
            <v>ANJALAI A/P RAMAN</v>
          </cell>
          <cell r="B19" t="str">
            <v>3 82533437</v>
          </cell>
          <cell r="C19">
            <v>36257</v>
          </cell>
          <cell r="D19" t="str">
            <v>WP LIVE</v>
          </cell>
          <cell r="E19">
            <v>41189</v>
          </cell>
          <cell r="F19" t="str">
            <v>TIER 1</v>
          </cell>
          <cell r="G19" t="str">
            <v>UNSKILLED</v>
          </cell>
          <cell r="H19">
            <v>280</v>
          </cell>
          <cell r="I19">
            <v>36257</v>
          </cell>
        </row>
        <row r="20">
          <cell r="A20" t="str">
            <v>ANURATHA A/P GANESAN</v>
          </cell>
          <cell r="B20" t="str">
            <v>4 03796794</v>
          </cell>
          <cell r="C20">
            <v>40688</v>
          </cell>
          <cell r="D20" t="str">
            <v>WP LIVE</v>
          </cell>
          <cell r="E20">
            <v>41344</v>
          </cell>
          <cell r="F20" t="str">
            <v>TIER 1</v>
          </cell>
          <cell r="G20" t="str">
            <v>SKILLED</v>
          </cell>
          <cell r="H20">
            <v>180</v>
          </cell>
          <cell r="I20">
            <v>40725</v>
          </cell>
        </row>
        <row r="21">
          <cell r="A21" t="str">
            <v>ARMAWAN SHAH BIN ISMI</v>
          </cell>
          <cell r="B21" t="str">
            <v>4 03438863</v>
          </cell>
          <cell r="C21">
            <v>40324</v>
          </cell>
          <cell r="D21" t="str">
            <v>WP LIVE</v>
          </cell>
          <cell r="E21">
            <v>41019</v>
          </cell>
          <cell r="F21" t="str">
            <v>TIER 1</v>
          </cell>
          <cell r="G21" t="str">
            <v>SKILLED</v>
          </cell>
          <cell r="H21">
            <v>180</v>
          </cell>
          <cell r="I21">
            <v>40725</v>
          </cell>
        </row>
        <row r="22">
          <cell r="A22" t="str">
            <v>ARUDDY AMBALAU</v>
          </cell>
          <cell r="B22" t="str">
            <v>4 02374888</v>
          </cell>
          <cell r="C22">
            <v>39095</v>
          </cell>
          <cell r="D22" t="str">
            <v>WP LIVE</v>
          </cell>
          <cell r="E22">
            <v>40887</v>
          </cell>
          <cell r="F22" t="str">
            <v>TIER 1</v>
          </cell>
          <cell r="G22" t="str">
            <v>SKILLED</v>
          </cell>
          <cell r="H22">
            <v>180</v>
          </cell>
          <cell r="I22">
            <v>39845</v>
          </cell>
        </row>
        <row r="23">
          <cell r="A23" t="str">
            <v>ARUMUGAM A/L RENGASAMY</v>
          </cell>
          <cell r="B23" t="str">
            <v>4 01933751</v>
          </cell>
          <cell r="C23">
            <v>40283</v>
          </cell>
          <cell r="D23" t="str">
            <v>WP LIVE</v>
          </cell>
          <cell r="E23">
            <v>41026</v>
          </cell>
          <cell r="F23" t="str">
            <v>TIER 1</v>
          </cell>
          <cell r="G23" t="str">
            <v>SKILLED</v>
          </cell>
          <cell r="H23">
            <v>180</v>
          </cell>
          <cell r="I23">
            <v>40725</v>
          </cell>
        </row>
        <row r="24">
          <cell r="A24" t="str">
            <v>ASHA A/P MUNIANDY</v>
          </cell>
          <cell r="B24" t="str">
            <v>4 03781096</v>
          </cell>
          <cell r="C24">
            <v>40675</v>
          </cell>
          <cell r="D24" t="str">
            <v>WP LIVE</v>
          </cell>
          <cell r="E24">
            <v>41363</v>
          </cell>
          <cell r="F24" t="str">
            <v>TIER 1</v>
          </cell>
          <cell r="G24" t="str">
            <v>SKILLED</v>
          </cell>
          <cell r="H24">
            <v>180</v>
          </cell>
          <cell r="I24">
            <v>40725</v>
          </cell>
        </row>
        <row r="25">
          <cell r="A25" t="str">
            <v>ASHVINI A/P SATHYYA</v>
          </cell>
          <cell r="B25" t="str">
            <v>4 03512699</v>
          </cell>
          <cell r="C25">
            <v>40396</v>
          </cell>
          <cell r="D25" t="str">
            <v>WP LIVE</v>
          </cell>
          <cell r="E25">
            <v>40970</v>
          </cell>
          <cell r="F25" t="str">
            <v>TIER 1</v>
          </cell>
          <cell r="G25" t="str">
            <v>SKILLED</v>
          </cell>
          <cell r="H25">
            <v>180</v>
          </cell>
          <cell r="I25">
            <v>40396</v>
          </cell>
        </row>
        <row r="26">
          <cell r="A26" t="str">
            <v>ASNAH BINTI MOHAMED</v>
          </cell>
          <cell r="B26" t="str">
            <v>4 01506888</v>
          </cell>
          <cell r="C26">
            <v>40721</v>
          </cell>
          <cell r="D26" t="str">
            <v>WP APPROVED</v>
          </cell>
          <cell r="F26" t="str">
            <v>TIER 1</v>
          </cell>
          <cell r="G26" t="str">
            <v>SKILLED</v>
          </cell>
          <cell r="H26">
            <v>180</v>
          </cell>
          <cell r="I26">
            <v>40725</v>
          </cell>
        </row>
        <row r="27">
          <cell r="A27" t="str">
            <v>ATHI LECTHMI A/P APALIASAMY</v>
          </cell>
          <cell r="B27" t="str">
            <v>4 0331417-</v>
          </cell>
          <cell r="C27">
            <v>40710</v>
          </cell>
          <cell r="D27" t="str">
            <v>WP APPROVED</v>
          </cell>
          <cell r="F27" t="str">
            <v>TIER 1</v>
          </cell>
          <cell r="G27" t="str">
            <v>SKILLED</v>
          </cell>
          <cell r="H27">
            <v>180</v>
          </cell>
          <cell r="I27">
            <v>40710</v>
          </cell>
        </row>
        <row r="28">
          <cell r="A28" t="str">
            <v>AUDASAMY A/L RAMAN</v>
          </cell>
          <cell r="B28" t="str">
            <v>3 81247627</v>
          </cell>
          <cell r="C28">
            <v>35865</v>
          </cell>
          <cell r="D28" t="str">
            <v>WP LIVE</v>
          </cell>
          <cell r="E28">
            <v>41307</v>
          </cell>
          <cell r="F28" t="str">
            <v>TIER 1</v>
          </cell>
          <cell r="G28" t="str">
            <v>UNSKILLED</v>
          </cell>
          <cell r="H28">
            <v>280</v>
          </cell>
          <cell r="I28">
            <v>35865</v>
          </cell>
        </row>
        <row r="29">
          <cell r="A29" t="str">
            <v>BAI HONGXIA</v>
          </cell>
          <cell r="B29" t="str">
            <v>0 5779237-</v>
          </cell>
          <cell r="C29">
            <v>39552</v>
          </cell>
          <cell r="D29" t="str">
            <v>WP LIVE</v>
          </cell>
          <cell r="E29">
            <v>41003</v>
          </cell>
          <cell r="F29" t="str">
            <v>TIER 1</v>
          </cell>
          <cell r="G29" t="str">
            <v>SKILLED</v>
          </cell>
          <cell r="H29">
            <v>180</v>
          </cell>
          <cell r="I29">
            <v>39552</v>
          </cell>
        </row>
        <row r="30">
          <cell r="A30" t="str">
            <v>BALACHANDRAN A/L KRISHNAN</v>
          </cell>
          <cell r="B30" t="str">
            <v>5 00107189</v>
          </cell>
          <cell r="C30">
            <v>36427</v>
          </cell>
          <cell r="D30" t="str">
            <v>WP LIVE</v>
          </cell>
          <cell r="E30">
            <v>40990</v>
          </cell>
          <cell r="F30" t="str">
            <v>TIER 1</v>
          </cell>
          <cell r="G30" t="str">
            <v>SKILLED</v>
          </cell>
          <cell r="H30">
            <v>180</v>
          </cell>
          <cell r="I30">
            <v>36427</v>
          </cell>
        </row>
        <row r="31">
          <cell r="A31" t="str">
            <v>BALAKRISHNAN A/L PONNUSAMY</v>
          </cell>
          <cell r="B31" t="str">
            <v>3 82604490</v>
          </cell>
          <cell r="C31">
            <v>40091</v>
          </cell>
          <cell r="D31" t="str">
            <v>WP LIVE</v>
          </cell>
          <cell r="E31">
            <v>41143</v>
          </cell>
          <cell r="F31" t="str">
            <v>TIER 1</v>
          </cell>
          <cell r="G31" t="str">
            <v>SKILLED</v>
          </cell>
          <cell r="H31">
            <v>180</v>
          </cell>
          <cell r="I31">
            <v>40091</v>
          </cell>
        </row>
        <row r="32">
          <cell r="A32" t="str">
            <v>BALAKRISHNAN A/L SUBERAMANIYAN</v>
          </cell>
          <cell r="B32" t="str">
            <v>3 82270118</v>
          </cell>
          <cell r="C32">
            <v>40708</v>
          </cell>
          <cell r="D32" t="str">
            <v>WP APPROVED</v>
          </cell>
          <cell r="F32" t="str">
            <v>TIER 1</v>
          </cell>
          <cell r="G32" t="str">
            <v>SKILLED</v>
          </cell>
          <cell r="H32">
            <v>180</v>
          </cell>
          <cell r="I32">
            <v>40708</v>
          </cell>
        </row>
        <row r="33">
          <cell r="A33" t="str">
            <v>BALAKRISHNAN A/L VERDISAMY</v>
          </cell>
          <cell r="B33" t="str">
            <v>3 5201088-</v>
          </cell>
          <cell r="C33">
            <v>35066</v>
          </cell>
          <cell r="D33" t="str">
            <v>WP LIVE</v>
          </cell>
          <cell r="E33">
            <v>41174</v>
          </cell>
          <cell r="F33" t="str">
            <v>TIER 1</v>
          </cell>
          <cell r="G33" t="str">
            <v>UNSKILLED</v>
          </cell>
          <cell r="H33">
            <v>280</v>
          </cell>
          <cell r="I33">
            <v>35066</v>
          </cell>
        </row>
        <row r="34">
          <cell r="A34" t="str">
            <v>BALAMURUGAN A/L GANESAN</v>
          </cell>
          <cell r="B34" t="str">
            <v>5 31537424</v>
          </cell>
          <cell r="C34">
            <v>36416</v>
          </cell>
          <cell r="D34" t="str">
            <v>WP LIVE</v>
          </cell>
          <cell r="E34">
            <v>40815</v>
          </cell>
          <cell r="F34" t="str">
            <v>TIER 1</v>
          </cell>
          <cell r="G34" t="str">
            <v>SKILLED</v>
          </cell>
          <cell r="H34">
            <v>180</v>
          </cell>
          <cell r="I34">
            <v>36416</v>
          </cell>
        </row>
        <row r="35">
          <cell r="A35" t="str">
            <v>BALAMURUGAN A/L KANDEEBAN</v>
          </cell>
          <cell r="B35" t="str">
            <v>5 29510322</v>
          </cell>
          <cell r="C35">
            <v>40725</v>
          </cell>
          <cell r="D35" t="str">
            <v>WP APPROVED</v>
          </cell>
          <cell r="F35" t="str">
            <v>TIER 1</v>
          </cell>
          <cell r="G35" t="str">
            <v>UNSKILLED</v>
          </cell>
          <cell r="H35">
            <v>280</v>
          </cell>
          <cell r="I35">
            <v>40725</v>
          </cell>
        </row>
        <row r="36">
          <cell r="A36" t="str">
            <v>BIAN WEN LAN</v>
          </cell>
          <cell r="B36" t="str">
            <v>0 57706759</v>
          </cell>
          <cell r="C36">
            <v>39259</v>
          </cell>
          <cell r="D36" t="str">
            <v>WP LIVE</v>
          </cell>
          <cell r="E36">
            <v>41434</v>
          </cell>
          <cell r="F36" t="str">
            <v>TIER 1</v>
          </cell>
          <cell r="G36" t="str">
            <v>SKILLED</v>
          </cell>
          <cell r="H36">
            <v>180</v>
          </cell>
          <cell r="I36">
            <v>39259</v>
          </cell>
        </row>
        <row r="37">
          <cell r="A37" t="str">
            <v>BIMMALAMMA A/P RAMALOO</v>
          </cell>
          <cell r="B37" t="str">
            <v>4 03808083</v>
          </cell>
          <cell r="C37">
            <v>40725</v>
          </cell>
          <cell r="D37" t="str">
            <v>WP APPROVED</v>
          </cell>
          <cell r="F37" t="str">
            <v>TIER 1</v>
          </cell>
          <cell r="G37" t="str">
            <v>UNSKILLED</v>
          </cell>
          <cell r="H37">
            <v>280</v>
          </cell>
          <cell r="I37">
            <v>40725</v>
          </cell>
        </row>
        <row r="38">
          <cell r="A38" t="str">
            <v>BO QIMING</v>
          </cell>
          <cell r="B38" t="str">
            <v>0 72696727</v>
          </cell>
          <cell r="C38">
            <v>39624</v>
          </cell>
          <cell r="D38" t="str">
            <v>WP LIVE</v>
          </cell>
          <cell r="E38">
            <v>41085</v>
          </cell>
          <cell r="F38" t="str">
            <v>TIER 1</v>
          </cell>
          <cell r="G38" t="str">
            <v>SKILLED</v>
          </cell>
          <cell r="H38">
            <v>180</v>
          </cell>
          <cell r="I38">
            <v>39624</v>
          </cell>
        </row>
        <row r="39">
          <cell r="A39" t="str">
            <v>BOHARI BIN KASTUBI</v>
          </cell>
          <cell r="B39" t="str">
            <v>3 73432938</v>
          </cell>
          <cell r="C39">
            <v>37846</v>
          </cell>
          <cell r="D39" t="str">
            <v>WP LIVE</v>
          </cell>
          <cell r="E39">
            <v>41150</v>
          </cell>
          <cell r="F39" t="str">
            <v>TIER 1</v>
          </cell>
          <cell r="G39" t="str">
            <v>UNSKILLED</v>
          </cell>
          <cell r="H39">
            <v>280</v>
          </cell>
          <cell r="I39">
            <v>39783</v>
          </cell>
        </row>
        <row r="40">
          <cell r="A40" t="str">
            <v>CAI BING</v>
          </cell>
          <cell r="B40" t="str">
            <v>0 57710039</v>
          </cell>
          <cell r="C40">
            <v>39260</v>
          </cell>
          <cell r="D40" t="str">
            <v>WP LIVE</v>
          </cell>
          <cell r="E40">
            <v>41434</v>
          </cell>
          <cell r="F40" t="str">
            <v>TIER 1</v>
          </cell>
          <cell r="G40" t="str">
            <v>SKILLED</v>
          </cell>
          <cell r="H40">
            <v>180</v>
          </cell>
          <cell r="I40">
            <v>39356</v>
          </cell>
        </row>
        <row r="41">
          <cell r="A41" t="str">
            <v>CAI FENG</v>
          </cell>
          <cell r="B41" t="str">
            <v>0 57987235</v>
          </cell>
          <cell r="C41">
            <v>39387</v>
          </cell>
          <cell r="D41" t="str">
            <v>WP LIVE</v>
          </cell>
          <cell r="E41">
            <v>40854</v>
          </cell>
          <cell r="F41" t="str">
            <v>TIER 1</v>
          </cell>
          <cell r="G41" t="str">
            <v>SKILLED</v>
          </cell>
          <cell r="H41">
            <v>180</v>
          </cell>
          <cell r="I41">
            <v>39387</v>
          </cell>
        </row>
        <row r="42">
          <cell r="A42" t="str">
            <v>CAI ZHENZHI</v>
          </cell>
          <cell r="B42" t="str">
            <v>0 7297655-</v>
          </cell>
          <cell r="C42">
            <v>39728</v>
          </cell>
          <cell r="D42" t="str">
            <v>WP LIVE</v>
          </cell>
          <cell r="E42">
            <v>41187</v>
          </cell>
          <cell r="F42" t="str">
            <v>TIER 1</v>
          </cell>
          <cell r="G42" t="str">
            <v>SKILLED</v>
          </cell>
          <cell r="H42">
            <v>180</v>
          </cell>
          <cell r="I42">
            <v>39845</v>
          </cell>
        </row>
        <row r="43">
          <cell r="A43" t="str">
            <v>CAO XIAO LING</v>
          </cell>
          <cell r="B43" t="str">
            <v>0 57706910</v>
          </cell>
          <cell r="C43">
            <v>39259</v>
          </cell>
          <cell r="D43" t="str">
            <v>WP LIVE</v>
          </cell>
          <cell r="E43">
            <v>41434</v>
          </cell>
          <cell r="F43" t="str">
            <v>TIER 1</v>
          </cell>
          <cell r="G43" t="str">
            <v>SKILLED</v>
          </cell>
          <cell r="H43">
            <v>180</v>
          </cell>
          <cell r="I43">
            <v>39259</v>
          </cell>
        </row>
        <row r="44">
          <cell r="A44" t="str">
            <v>CAO ZHAO FANG</v>
          </cell>
          <cell r="B44" t="str">
            <v>0 57981482</v>
          </cell>
          <cell r="C44">
            <v>39402</v>
          </cell>
          <cell r="D44" t="str">
            <v>WP LIVE</v>
          </cell>
          <cell r="E44">
            <v>41215</v>
          </cell>
          <cell r="F44" t="str">
            <v>TIER 1</v>
          </cell>
          <cell r="G44" t="str">
            <v>SKILLED</v>
          </cell>
          <cell r="H44">
            <v>180</v>
          </cell>
          <cell r="I44">
            <v>39402</v>
          </cell>
        </row>
        <row r="45">
          <cell r="A45" t="str">
            <v>CHAI NYUK JAN</v>
          </cell>
          <cell r="B45" t="str">
            <v>8 91979185</v>
          </cell>
          <cell r="C45">
            <v>37771</v>
          </cell>
          <cell r="D45" t="str">
            <v>WP LIVE</v>
          </cell>
          <cell r="E45">
            <v>41276</v>
          </cell>
          <cell r="F45" t="str">
            <v>TIER 1</v>
          </cell>
          <cell r="G45" t="str">
            <v>UNSKILLED</v>
          </cell>
          <cell r="H45">
            <v>280</v>
          </cell>
          <cell r="I45">
            <v>37771</v>
          </cell>
        </row>
        <row r="46">
          <cell r="A46" t="str">
            <v>CHALLAMAY A/P SUPPIAH</v>
          </cell>
          <cell r="B46" t="str">
            <v>5 05746821</v>
          </cell>
          <cell r="C46">
            <v>36740</v>
          </cell>
          <cell r="D46" t="str">
            <v>WP LIVE</v>
          </cell>
          <cell r="E46">
            <v>41400</v>
          </cell>
          <cell r="F46" t="str">
            <v>TIER 1</v>
          </cell>
          <cell r="G46" t="str">
            <v>UNSKILLED</v>
          </cell>
          <cell r="H46">
            <v>280</v>
          </cell>
          <cell r="I46">
            <v>36740</v>
          </cell>
        </row>
        <row r="47">
          <cell r="A47" t="str">
            <v>CHAN CHOU LIN</v>
          </cell>
          <cell r="B47" t="str">
            <v>3 79558267</v>
          </cell>
          <cell r="C47">
            <v>36357</v>
          </cell>
          <cell r="D47" t="str">
            <v>WP LIVE</v>
          </cell>
          <cell r="E47">
            <v>40974</v>
          </cell>
          <cell r="F47" t="str">
            <v>TIER 1</v>
          </cell>
          <cell r="G47" t="str">
            <v>SKILLED</v>
          </cell>
          <cell r="H47">
            <v>180</v>
          </cell>
          <cell r="I47">
            <v>36357</v>
          </cell>
        </row>
        <row r="48">
          <cell r="A48" t="str">
            <v>CHAN SHOCK LEN</v>
          </cell>
          <cell r="B48" t="str">
            <v>6 06441347</v>
          </cell>
          <cell r="C48">
            <v>36613</v>
          </cell>
          <cell r="D48" t="str">
            <v>WP LIVE</v>
          </cell>
          <cell r="E48">
            <v>40732</v>
          </cell>
          <cell r="F48" t="str">
            <v>TIER 1</v>
          </cell>
          <cell r="G48" t="str">
            <v>SKILLED</v>
          </cell>
          <cell r="H48">
            <v>180</v>
          </cell>
          <cell r="I48">
            <v>36613</v>
          </cell>
        </row>
        <row r="49">
          <cell r="A49" t="str">
            <v>CHAN WENG KIN</v>
          </cell>
          <cell r="B49" t="str">
            <v>5 0902362-</v>
          </cell>
          <cell r="C49">
            <v>36320</v>
          </cell>
          <cell r="D49" t="str">
            <v>WP LIVE</v>
          </cell>
          <cell r="E49">
            <v>41328</v>
          </cell>
          <cell r="F49" t="str">
            <v>TIER 1</v>
          </cell>
          <cell r="G49" t="str">
            <v>SKILLED</v>
          </cell>
          <cell r="H49">
            <v>180</v>
          </cell>
          <cell r="I49">
            <v>36320</v>
          </cell>
        </row>
        <row r="50">
          <cell r="A50" t="str">
            <v>CHAN WENG SENG</v>
          </cell>
          <cell r="B50" t="str">
            <v>3 57892228</v>
          </cell>
          <cell r="C50">
            <v>35187</v>
          </cell>
          <cell r="D50" t="str">
            <v>WP LIVE</v>
          </cell>
          <cell r="E50">
            <v>41064</v>
          </cell>
          <cell r="F50" t="str">
            <v>TIER 1</v>
          </cell>
          <cell r="G50" t="str">
            <v>UNSKILLED</v>
          </cell>
          <cell r="H50">
            <v>280</v>
          </cell>
          <cell r="I50">
            <v>35187</v>
          </cell>
        </row>
        <row r="51">
          <cell r="A51" t="str">
            <v>CHANG JIAN GUO</v>
          </cell>
          <cell r="B51" t="str">
            <v>0 57850590</v>
          </cell>
          <cell r="C51">
            <v>39328</v>
          </cell>
          <cell r="D51" t="str">
            <v>WP LIVE</v>
          </cell>
          <cell r="E51">
            <v>40790</v>
          </cell>
          <cell r="F51" t="str">
            <v>TIER 1</v>
          </cell>
          <cell r="G51" t="str">
            <v>SKILLED</v>
          </cell>
          <cell r="H51">
            <v>180</v>
          </cell>
          <cell r="I51">
            <v>39356</v>
          </cell>
        </row>
        <row r="52">
          <cell r="A52" t="str">
            <v>CHAU SIN FAH</v>
          </cell>
          <cell r="B52" t="str">
            <v>6 06431686</v>
          </cell>
          <cell r="C52">
            <v>38241</v>
          </cell>
          <cell r="D52" t="str">
            <v>WP LIVE</v>
          </cell>
          <cell r="E52">
            <v>40864</v>
          </cell>
          <cell r="F52" t="str">
            <v>TIER 1</v>
          </cell>
          <cell r="G52" t="str">
            <v>UNSKILLED</v>
          </cell>
          <cell r="H52">
            <v>280</v>
          </cell>
          <cell r="I52">
            <v>38241</v>
          </cell>
        </row>
        <row r="53">
          <cell r="A53" t="str">
            <v>CHE ABDUL RAHIM BIN RAMLI</v>
          </cell>
          <cell r="B53" t="str">
            <v>5 01262897</v>
          </cell>
          <cell r="C53">
            <v>40480</v>
          </cell>
          <cell r="D53" t="str">
            <v>WP LIVE</v>
          </cell>
          <cell r="E53">
            <v>41234</v>
          </cell>
          <cell r="F53" t="str">
            <v>TIER 1</v>
          </cell>
          <cell r="G53" t="str">
            <v>SKILLED</v>
          </cell>
          <cell r="H53">
            <v>180</v>
          </cell>
          <cell r="I53">
            <v>40725</v>
          </cell>
        </row>
        <row r="54">
          <cell r="A54" t="str">
            <v>CHEN HAIYAN</v>
          </cell>
          <cell r="B54" t="str">
            <v>0 72974344</v>
          </cell>
          <cell r="C54">
            <v>39918</v>
          </cell>
          <cell r="D54" t="str">
            <v>WP LIVE</v>
          </cell>
          <cell r="E54">
            <v>41014</v>
          </cell>
          <cell r="F54" t="str">
            <v>TIER 1</v>
          </cell>
          <cell r="G54" t="str">
            <v>SKILLED</v>
          </cell>
          <cell r="H54">
            <v>180</v>
          </cell>
          <cell r="I54">
            <v>39934</v>
          </cell>
        </row>
        <row r="55">
          <cell r="A55" t="str">
            <v>CHEN JIAJIAN</v>
          </cell>
          <cell r="B55" t="str">
            <v>0 56546278</v>
          </cell>
          <cell r="C55">
            <v>37803</v>
          </cell>
          <cell r="D55" t="str">
            <v>WP LIVE</v>
          </cell>
          <cell r="E55">
            <v>40739</v>
          </cell>
          <cell r="F55" t="str">
            <v>TIER 1</v>
          </cell>
          <cell r="G55" t="str">
            <v>UNSKILLED</v>
          </cell>
          <cell r="H55">
            <v>280</v>
          </cell>
          <cell r="I55">
            <v>37803</v>
          </cell>
        </row>
        <row r="56">
          <cell r="A56" t="str">
            <v>CHEN JIAMEI</v>
          </cell>
          <cell r="B56" t="str">
            <v>0 56473874</v>
          </cell>
          <cell r="C56">
            <v>37545</v>
          </cell>
          <cell r="D56" t="str">
            <v>WP LIVE</v>
          </cell>
          <cell r="E56">
            <v>40798</v>
          </cell>
          <cell r="F56" t="str">
            <v>TIER 1</v>
          </cell>
          <cell r="G56" t="str">
            <v>UNSKILLED</v>
          </cell>
          <cell r="H56">
            <v>280</v>
          </cell>
          <cell r="I56">
            <v>37545</v>
          </cell>
        </row>
        <row r="57">
          <cell r="A57" t="str">
            <v>CHEN SAI MEI</v>
          </cell>
          <cell r="B57" t="str">
            <v>0 57687878</v>
          </cell>
          <cell r="C57">
            <v>39252</v>
          </cell>
          <cell r="D57" t="str">
            <v>WP LIVE</v>
          </cell>
          <cell r="E57">
            <v>41434</v>
          </cell>
          <cell r="F57" t="str">
            <v>TIER 1</v>
          </cell>
          <cell r="G57" t="str">
            <v>SKILLED</v>
          </cell>
          <cell r="H57">
            <v>180</v>
          </cell>
          <cell r="I57">
            <v>39252</v>
          </cell>
        </row>
        <row r="58">
          <cell r="A58" t="str">
            <v>CHEN SHAOFANG</v>
          </cell>
          <cell r="B58" t="str">
            <v>0 72603931</v>
          </cell>
          <cell r="C58">
            <v>39597</v>
          </cell>
          <cell r="D58" t="str">
            <v>WP LIVE</v>
          </cell>
          <cell r="E58">
            <v>41057</v>
          </cell>
          <cell r="F58" t="str">
            <v>TIER 1</v>
          </cell>
          <cell r="G58" t="str">
            <v>SKILLED</v>
          </cell>
          <cell r="H58">
            <v>180</v>
          </cell>
          <cell r="I58">
            <v>39597</v>
          </cell>
        </row>
        <row r="59">
          <cell r="A59" t="str">
            <v>CHENG CHANGYAN</v>
          </cell>
          <cell r="B59" t="str">
            <v>0 72529138</v>
          </cell>
          <cell r="C59">
            <v>39918</v>
          </cell>
          <cell r="D59" t="str">
            <v>WP LIVE</v>
          </cell>
          <cell r="E59">
            <v>41014</v>
          </cell>
          <cell r="F59" t="str">
            <v>TIER 1</v>
          </cell>
          <cell r="G59" t="str">
            <v>SKILLED</v>
          </cell>
          <cell r="H59">
            <v>180</v>
          </cell>
          <cell r="I59">
            <v>39995</v>
          </cell>
        </row>
        <row r="60">
          <cell r="A60" t="str">
            <v>CHENG CHIA LAN</v>
          </cell>
          <cell r="B60" t="str">
            <v>3 81728145</v>
          </cell>
          <cell r="C60">
            <v>39119</v>
          </cell>
          <cell r="D60" t="str">
            <v>WP LIVE</v>
          </cell>
          <cell r="E60">
            <v>41333</v>
          </cell>
          <cell r="F60" t="str">
            <v>TIER 1</v>
          </cell>
          <cell r="G60" t="str">
            <v>SKILLED</v>
          </cell>
          <cell r="H60">
            <v>180</v>
          </cell>
          <cell r="I60">
            <v>39119</v>
          </cell>
        </row>
        <row r="61">
          <cell r="A61" t="str">
            <v>CHEONG CHUI YIN</v>
          </cell>
          <cell r="B61" t="str">
            <v>3 67183187</v>
          </cell>
          <cell r="C61">
            <v>37797</v>
          </cell>
          <cell r="D61" t="str">
            <v>WP LIVE</v>
          </cell>
          <cell r="E61">
            <v>40730</v>
          </cell>
          <cell r="F61" t="str">
            <v>TIER 1</v>
          </cell>
          <cell r="G61" t="str">
            <v>UNSKILLED</v>
          </cell>
          <cell r="H61">
            <v>280</v>
          </cell>
          <cell r="I61">
            <v>37797</v>
          </cell>
        </row>
        <row r="62">
          <cell r="A62" t="str">
            <v>CHEONG KIM SENG</v>
          </cell>
          <cell r="B62" t="str">
            <v>5 05227115</v>
          </cell>
          <cell r="C62">
            <v>36426</v>
          </cell>
          <cell r="D62" t="str">
            <v>WP LIVE</v>
          </cell>
          <cell r="E62">
            <v>41222</v>
          </cell>
          <cell r="F62" t="str">
            <v>TIER 1</v>
          </cell>
          <cell r="G62" t="str">
            <v>SKILLED</v>
          </cell>
          <cell r="H62">
            <v>180</v>
          </cell>
          <cell r="I62">
            <v>36426</v>
          </cell>
        </row>
        <row r="63">
          <cell r="A63" t="str">
            <v>CHEONG YEN XIN</v>
          </cell>
          <cell r="B63" t="str">
            <v>4 02029587</v>
          </cell>
          <cell r="C63">
            <v>39630</v>
          </cell>
          <cell r="D63" t="str">
            <v>WP LIVE</v>
          </cell>
          <cell r="E63">
            <v>41099</v>
          </cell>
          <cell r="F63" t="str">
            <v>TIER 1</v>
          </cell>
          <cell r="G63" t="str">
            <v>SKILLED</v>
          </cell>
          <cell r="H63">
            <v>180</v>
          </cell>
          <cell r="I63">
            <v>39630</v>
          </cell>
        </row>
        <row r="64">
          <cell r="A64" t="str">
            <v>CHIN LIAN KUAN</v>
          </cell>
          <cell r="B64" t="str">
            <v>4 03584126</v>
          </cell>
          <cell r="C64">
            <v>40518</v>
          </cell>
          <cell r="D64" t="str">
            <v>WP LIVE</v>
          </cell>
          <cell r="E64">
            <v>41256</v>
          </cell>
          <cell r="F64" t="str">
            <v>TIER 1</v>
          </cell>
          <cell r="G64" t="str">
            <v>SKILLED</v>
          </cell>
          <cell r="H64">
            <v>180</v>
          </cell>
          <cell r="I64">
            <v>40518</v>
          </cell>
        </row>
        <row r="65">
          <cell r="A65" t="str">
            <v>CHIN SOO HAR</v>
          </cell>
          <cell r="B65" t="str">
            <v>3 82025687</v>
          </cell>
          <cell r="C65">
            <v>40421</v>
          </cell>
          <cell r="D65" t="str">
            <v>WP LIVE</v>
          </cell>
          <cell r="E65">
            <v>41114</v>
          </cell>
          <cell r="F65" t="str">
            <v>TIER 1</v>
          </cell>
          <cell r="G65" t="str">
            <v>SKILLED</v>
          </cell>
          <cell r="H65">
            <v>180</v>
          </cell>
          <cell r="I65">
            <v>40725</v>
          </cell>
        </row>
        <row r="66">
          <cell r="A66" t="str">
            <v>CHONG KONG THAI</v>
          </cell>
          <cell r="B66" t="str">
            <v>3 82194152</v>
          </cell>
          <cell r="C66">
            <v>37314</v>
          </cell>
          <cell r="D66" t="str">
            <v>WP LIVE</v>
          </cell>
          <cell r="E66">
            <v>40961</v>
          </cell>
          <cell r="F66" t="str">
            <v>TIER 1</v>
          </cell>
          <cell r="G66" t="str">
            <v>UNSKILLED</v>
          </cell>
          <cell r="H66">
            <v>280</v>
          </cell>
          <cell r="I66">
            <v>37314</v>
          </cell>
        </row>
        <row r="67">
          <cell r="A67" t="str">
            <v>CHONG MAY FONG</v>
          </cell>
          <cell r="B67" t="str">
            <v>4 03746177</v>
          </cell>
          <cell r="C67">
            <v>40715</v>
          </cell>
          <cell r="D67" t="str">
            <v>WP LIVE</v>
          </cell>
          <cell r="E67">
            <v>41458</v>
          </cell>
          <cell r="F67" t="str">
            <v>TIER 1</v>
          </cell>
          <cell r="G67" t="str">
            <v>SKILLED</v>
          </cell>
          <cell r="H67">
            <v>180</v>
          </cell>
          <cell r="I67">
            <v>40725</v>
          </cell>
        </row>
        <row r="68">
          <cell r="A68" t="str">
            <v>CHONG PHEY JOO</v>
          </cell>
          <cell r="B68" t="str">
            <v>4 01858989</v>
          </cell>
          <cell r="C68">
            <v>40693</v>
          </cell>
          <cell r="D68" t="str">
            <v>WP LIVE</v>
          </cell>
          <cell r="E68">
            <v>41430</v>
          </cell>
          <cell r="F68" t="str">
            <v>TIER 1</v>
          </cell>
          <cell r="G68" t="str">
            <v>SKILLED</v>
          </cell>
          <cell r="H68">
            <v>180</v>
          </cell>
          <cell r="I68">
            <v>40693</v>
          </cell>
        </row>
        <row r="69">
          <cell r="A69" t="str">
            <v>CHU PEI PEI</v>
          </cell>
          <cell r="B69" t="str">
            <v>0 57849894</v>
          </cell>
          <cell r="C69">
            <v>39328</v>
          </cell>
          <cell r="D69" t="str">
            <v>WP LIVE</v>
          </cell>
          <cell r="E69">
            <v>41299</v>
          </cell>
          <cell r="F69" t="str">
            <v>TIER 1</v>
          </cell>
          <cell r="G69" t="str">
            <v>SKILLED</v>
          </cell>
          <cell r="H69">
            <v>180</v>
          </cell>
          <cell r="I69">
            <v>39328</v>
          </cell>
        </row>
        <row r="70">
          <cell r="A70" t="str">
            <v>DAI CHUNLONG</v>
          </cell>
          <cell r="B70" t="str">
            <v>0 72604318</v>
          </cell>
          <cell r="C70">
            <v>39597</v>
          </cell>
          <cell r="D70" t="str">
            <v>WP LIVE</v>
          </cell>
          <cell r="E70">
            <v>41057</v>
          </cell>
          <cell r="F70" t="str">
            <v>TIER 1</v>
          </cell>
          <cell r="G70" t="str">
            <v>SKILLED</v>
          </cell>
          <cell r="H70">
            <v>180</v>
          </cell>
          <cell r="I70">
            <v>40330</v>
          </cell>
        </row>
        <row r="71">
          <cell r="A71" t="str">
            <v>DAI ZHU LAN</v>
          </cell>
          <cell r="B71" t="str">
            <v>0 72011333</v>
          </cell>
          <cell r="C71">
            <v>39402</v>
          </cell>
          <cell r="D71" t="str">
            <v>WP LIVE</v>
          </cell>
          <cell r="E71">
            <v>41215</v>
          </cell>
          <cell r="F71" t="str">
            <v>TIER 1</v>
          </cell>
          <cell r="G71" t="str">
            <v>SKILLED</v>
          </cell>
          <cell r="H71">
            <v>180</v>
          </cell>
          <cell r="I71">
            <v>39402</v>
          </cell>
        </row>
        <row r="72">
          <cell r="A72" t="str">
            <v>DEVAGI A/P MAHALINGAM</v>
          </cell>
          <cell r="B72" t="str">
            <v>4 03438936</v>
          </cell>
          <cell r="C72">
            <v>40324</v>
          </cell>
          <cell r="D72" t="str">
            <v>WP LIVE</v>
          </cell>
          <cell r="E72">
            <v>41067</v>
          </cell>
          <cell r="F72" t="str">
            <v>TIER 1</v>
          </cell>
          <cell r="G72" t="str">
            <v>SKILLED</v>
          </cell>
          <cell r="H72">
            <v>180</v>
          </cell>
          <cell r="I72">
            <v>40324</v>
          </cell>
        </row>
        <row r="73">
          <cell r="A73" t="str">
            <v>DEVAKI A/P MARIAPPAN</v>
          </cell>
          <cell r="B73" t="str">
            <v>3 49521652</v>
          </cell>
          <cell r="C73">
            <v>37924</v>
          </cell>
          <cell r="D73" t="str">
            <v>WP LIVE</v>
          </cell>
          <cell r="E73">
            <v>41386</v>
          </cell>
          <cell r="F73" t="str">
            <v>TIER 1</v>
          </cell>
          <cell r="G73" t="str">
            <v>UNSKILLED</v>
          </cell>
          <cell r="H73">
            <v>280</v>
          </cell>
          <cell r="I73">
            <v>37924</v>
          </cell>
        </row>
        <row r="74">
          <cell r="A74" t="str">
            <v>DEVISRI A/P PALAINDID</v>
          </cell>
          <cell r="B74" t="str">
            <v>4 02409444</v>
          </cell>
          <cell r="C74">
            <v>39704</v>
          </cell>
          <cell r="D74" t="str">
            <v>WP LIVE</v>
          </cell>
          <cell r="E74">
            <v>40777</v>
          </cell>
          <cell r="F74" t="str">
            <v>TIER 1</v>
          </cell>
          <cell r="G74" t="str">
            <v>SKILLED</v>
          </cell>
          <cell r="H74">
            <v>180</v>
          </cell>
          <cell r="I74">
            <v>39704</v>
          </cell>
        </row>
        <row r="75">
          <cell r="A75" t="str">
            <v>DHANALETCHUMI A/P PERIASAMY</v>
          </cell>
          <cell r="B75" t="str">
            <v>4 03410365</v>
          </cell>
          <cell r="C75">
            <v>40302</v>
          </cell>
          <cell r="D75" t="str">
            <v>WP LIVE</v>
          </cell>
          <cell r="E75">
            <v>41042</v>
          </cell>
          <cell r="F75" t="str">
            <v>TIER 1</v>
          </cell>
          <cell r="G75" t="str">
            <v>SKILLED</v>
          </cell>
          <cell r="H75">
            <v>180</v>
          </cell>
          <cell r="I75">
            <v>40302</v>
          </cell>
        </row>
        <row r="76">
          <cell r="A76" t="str">
            <v>DING GUO MEI</v>
          </cell>
          <cell r="B76" t="str">
            <v>0 72058488</v>
          </cell>
          <cell r="C76">
            <v>39423</v>
          </cell>
          <cell r="D76" t="str">
            <v>WP LIVE</v>
          </cell>
          <cell r="E76">
            <v>41244</v>
          </cell>
          <cell r="F76" t="str">
            <v>TIER 1</v>
          </cell>
          <cell r="G76" t="str">
            <v>SKILLED</v>
          </cell>
          <cell r="H76">
            <v>180</v>
          </cell>
          <cell r="I76">
            <v>39508</v>
          </cell>
        </row>
        <row r="77">
          <cell r="A77" t="str">
            <v>DING HONG XIA</v>
          </cell>
          <cell r="B77" t="str">
            <v>0 57849886</v>
          </cell>
          <cell r="C77">
            <v>39328</v>
          </cell>
          <cell r="D77" t="str">
            <v>WP LIVE</v>
          </cell>
          <cell r="E77">
            <v>40790</v>
          </cell>
          <cell r="F77" t="str">
            <v>TIER 1</v>
          </cell>
          <cell r="G77" t="str">
            <v>SKILLED</v>
          </cell>
          <cell r="H77">
            <v>180</v>
          </cell>
          <cell r="I77">
            <v>39328</v>
          </cell>
        </row>
        <row r="78">
          <cell r="A78" t="str">
            <v>DONG SHUHUA</v>
          </cell>
          <cell r="B78" t="str">
            <v>0 73279860</v>
          </cell>
          <cell r="C78">
            <v>39891</v>
          </cell>
          <cell r="D78" t="str">
            <v>WP LIVE</v>
          </cell>
          <cell r="E78">
            <v>41189</v>
          </cell>
          <cell r="F78" t="str">
            <v>TIER 1</v>
          </cell>
          <cell r="G78" t="str">
            <v>SKILLED</v>
          </cell>
          <cell r="H78">
            <v>180</v>
          </cell>
          <cell r="I78">
            <v>39934</v>
          </cell>
        </row>
        <row r="79">
          <cell r="A79" t="str">
            <v>EMA FARHANA BINTI MATSUDIN</v>
          </cell>
          <cell r="B79" t="str">
            <v>4 0342787-</v>
          </cell>
          <cell r="C79">
            <v>40542</v>
          </cell>
          <cell r="D79" t="str">
            <v>WP LIVE</v>
          </cell>
          <cell r="E79">
            <v>40861</v>
          </cell>
          <cell r="F79" t="str">
            <v>TIER 1</v>
          </cell>
          <cell r="G79" t="str">
            <v>SKILLED</v>
          </cell>
          <cell r="H79">
            <v>180</v>
          </cell>
          <cell r="I79">
            <v>40725</v>
          </cell>
        </row>
        <row r="80">
          <cell r="A80" t="str">
            <v>EMILY JONAIP</v>
          </cell>
          <cell r="B80" t="str">
            <v>4 02086793</v>
          </cell>
          <cell r="C80">
            <v>39507</v>
          </cell>
          <cell r="D80" t="str">
            <v>WP LIVE</v>
          </cell>
          <cell r="E80">
            <v>40992</v>
          </cell>
          <cell r="F80" t="str">
            <v>TIER 1</v>
          </cell>
          <cell r="G80" t="str">
            <v>SKILLED</v>
          </cell>
          <cell r="H80">
            <v>180</v>
          </cell>
          <cell r="I80">
            <v>39507</v>
          </cell>
        </row>
        <row r="81">
          <cell r="A81" t="str">
            <v>ENG SEK LAN</v>
          </cell>
          <cell r="B81" t="str">
            <v>3 49527200</v>
          </cell>
          <cell r="C81">
            <v>40213</v>
          </cell>
          <cell r="D81" t="str">
            <v>WP LIVE</v>
          </cell>
          <cell r="E81">
            <v>40956</v>
          </cell>
          <cell r="F81" t="str">
            <v>TIER 1</v>
          </cell>
          <cell r="G81" t="str">
            <v>SKILLED</v>
          </cell>
          <cell r="H81">
            <v>180</v>
          </cell>
          <cell r="I81">
            <v>40725</v>
          </cell>
        </row>
        <row r="82">
          <cell r="A82" t="str">
            <v>FAN XUE LING</v>
          </cell>
          <cell r="B82" t="str">
            <v>0 57646128</v>
          </cell>
          <cell r="C82">
            <v>39918</v>
          </cell>
          <cell r="D82" t="str">
            <v>WP LIVE</v>
          </cell>
          <cell r="E82">
            <v>41014</v>
          </cell>
          <cell r="F82" t="str">
            <v>TIER 1</v>
          </cell>
          <cell r="G82" t="str">
            <v>SKILLED</v>
          </cell>
          <cell r="H82">
            <v>180</v>
          </cell>
          <cell r="I82">
            <v>39918</v>
          </cell>
        </row>
        <row r="83">
          <cell r="A83" t="str">
            <v>FAUZIAH BINTI JASMAN</v>
          </cell>
          <cell r="B83" t="str">
            <v>3 62278929</v>
          </cell>
          <cell r="C83">
            <v>40448</v>
          </cell>
          <cell r="D83" t="str">
            <v>WP LIVE</v>
          </cell>
          <cell r="E83">
            <v>41196</v>
          </cell>
          <cell r="F83" t="str">
            <v>TIER 1</v>
          </cell>
          <cell r="G83" t="str">
            <v>SKILLED</v>
          </cell>
          <cell r="H83">
            <v>180</v>
          </cell>
          <cell r="I83">
            <v>40448</v>
          </cell>
        </row>
        <row r="84">
          <cell r="A84" t="str">
            <v>FENG FENGJUAN</v>
          </cell>
          <cell r="B84" t="str">
            <v>0 72621921</v>
          </cell>
          <cell r="C84">
            <v>39605</v>
          </cell>
          <cell r="D84" t="str">
            <v>WP LIVE</v>
          </cell>
          <cell r="E84">
            <v>41067</v>
          </cell>
          <cell r="F84" t="str">
            <v>TIER 1</v>
          </cell>
          <cell r="G84" t="str">
            <v>SKILLED</v>
          </cell>
          <cell r="H84">
            <v>180</v>
          </cell>
          <cell r="I84">
            <v>40725</v>
          </cell>
        </row>
        <row r="85">
          <cell r="A85" t="str">
            <v>FOONG CHOY GUAN</v>
          </cell>
          <cell r="B85" t="str">
            <v>4 02437383</v>
          </cell>
          <cell r="C85">
            <v>40492</v>
          </cell>
          <cell r="D85" t="str">
            <v>WP LIVE</v>
          </cell>
          <cell r="E85">
            <v>41355</v>
          </cell>
          <cell r="F85" t="str">
            <v>TIER 1</v>
          </cell>
          <cell r="G85" t="str">
            <v>SKILLED</v>
          </cell>
          <cell r="H85">
            <v>180</v>
          </cell>
          <cell r="I85">
            <v>40725</v>
          </cell>
        </row>
        <row r="86">
          <cell r="A86" t="str">
            <v>FREDRICA PALMEN</v>
          </cell>
          <cell r="B86" t="str">
            <v>4 01263950</v>
          </cell>
          <cell r="C86">
            <v>37734</v>
          </cell>
          <cell r="D86" t="str">
            <v>WP LIVE</v>
          </cell>
          <cell r="E86">
            <v>41358</v>
          </cell>
          <cell r="F86" t="str">
            <v>TIER 1</v>
          </cell>
          <cell r="G86" t="str">
            <v>UNSKILLED</v>
          </cell>
          <cell r="H86">
            <v>280</v>
          </cell>
          <cell r="I86">
            <v>37734</v>
          </cell>
        </row>
        <row r="87">
          <cell r="A87" t="str">
            <v>FU YANPING</v>
          </cell>
          <cell r="B87" t="str">
            <v>0 57828765</v>
          </cell>
          <cell r="C87">
            <v>39777</v>
          </cell>
          <cell r="D87" t="str">
            <v>WP LIVE</v>
          </cell>
          <cell r="E87">
            <v>41215</v>
          </cell>
          <cell r="F87" t="str">
            <v>TIER 1</v>
          </cell>
          <cell r="G87" t="str">
            <v>SKILLED</v>
          </cell>
          <cell r="H87">
            <v>180</v>
          </cell>
          <cell r="I87">
            <v>40087</v>
          </cell>
        </row>
        <row r="88">
          <cell r="A88" t="str">
            <v>FU YONGHUA</v>
          </cell>
          <cell r="B88" t="str">
            <v>0 72241835</v>
          </cell>
          <cell r="C88">
            <v>39496</v>
          </cell>
          <cell r="D88" t="str">
            <v>WP LIVE</v>
          </cell>
          <cell r="E88">
            <v>41399</v>
          </cell>
          <cell r="F88" t="str">
            <v>TIER 1</v>
          </cell>
          <cell r="G88" t="str">
            <v>SKILLED</v>
          </cell>
          <cell r="H88">
            <v>180</v>
          </cell>
          <cell r="I88">
            <v>40725</v>
          </cell>
        </row>
        <row r="89">
          <cell r="A89" t="str">
            <v>GAN CHEE CHONG</v>
          </cell>
          <cell r="B89" t="str">
            <v>3 51739088</v>
          </cell>
          <cell r="C89">
            <v>40462</v>
          </cell>
          <cell r="D89" t="str">
            <v>WP LIVE</v>
          </cell>
          <cell r="E89">
            <v>41201</v>
          </cell>
          <cell r="F89" t="str">
            <v>TIER 1</v>
          </cell>
          <cell r="G89" t="str">
            <v>SKILLED</v>
          </cell>
          <cell r="H89">
            <v>180</v>
          </cell>
          <cell r="I89">
            <v>40725</v>
          </cell>
        </row>
        <row r="90">
          <cell r="A90" t="str">
            <v>GAN HUI LING</v>
          </cell>
          <cell r="B90" t="str">
            <v>0 57985453</v>
          </cell>
          <cell r="C90">
            <v>39387</v>
          </cell>
          <cell r="D90" t="str">
            <v>WP LIVE</v>
          </cell>
          <cell r="E90">
            <v>40854</v>
          </cell>
          <cell r="F90" t="str">
            <v>TIER 1</v>
          </cell>
          <cell r="G90" t="str">
            <v>SKILLED</v>
          </cell>
          <cell r="H90">
            <v>180</v>
          </cell>
          <cell r="I90">
            <v>39387</v>
          </cell>
        </row>
        <row r="91">
          <cell r="A91" t="str">
            <v>GAO BING LI</v>
          </cell>
          <cell r="B91" t="str">
            <v>0 57849932</v>
          </cell>
          <cell r="C91">
            <v>39328</v>
          </cell>
          <cell r="D91" t="str">
            <v>WP LIVE</v>
          </cell>
          <cell r="E91">
            <v>40790</v>
          </cell>
          <cell r="F91" t="str">
            <v>TIER 1</v>
          </cell>
          <cell r="G91" t="str">
            <v>SKILLED</v>
          </cell>
          <cell r="H91">
            <v>180</v>
          </cell>
          <cell r="I91">
            <v>39356</v>
          </cell>
        </row>
        <row r="92">
          <cell r="A92" t="str">
            <v>GAO JIE</v>
          </cell>
          <cell r="B92" t="str">
            <v>0 72917669</v>
          </cell>
          <cell r="C92">
            <v>39708</v>
          </cell>
          <cell r="D92" t="str">
            <v>WP LIVE</v>
          </cell>
          <cell r="E92">
            <v>41125</v>
          </cell>
          <cell r="F92" t="str">
            <v>TIER 1</v>
          </cell>
          <cell r="G92" t="str">
            <v>SKILLED</v>
          </cell>
          <cell r="H92">
            <v>180</v>
          </cell>
          <cell r="I92">
            <v>40087</v>
          </cell>
        </row>
        <row r="93">
          <cell r="A93" t="str">
            <v>GEETA A/P MANIAM</v>
          </cell>
          <cell r="B93" t="str">
            <v>4 00387567</v>
          </cell>
          <cell r="C93">
            <v>39854</v>
          </cell>
          <cell r="D93" t="str">
            <v>WP LIVE</v>
          </cell>
          <cell r="E93">
            <v>41314</v>
          </cell>
          <cell r="F93" t="str">
            <v>TIER 1</v>
          </cell>
          <cell r="G93" t="str">
            <v>SKILLED</v>
          </cell>
          <cell r="H93">
            <v>180</v>
          </cell>
          <cell r="I93">
            <v>40603</v>
          </cell>
        </row>
        <row r="94">
          <cell r="A94" t="str">
            <v>GEETHANJALI A/P SUKUMAR</v>
          </cell>
          <cell r="B94" t="str">
            <v>4 03771562</v>
          </cell>
          <cell r="C94">
            <v>40668</v>
          </cell>
          <cell r="D94" t="str">
            <v>WP LIVE</v>
          </cell>
          <cell r="E94">
            <v>40940</v>
          </cell>
          <cell r="F94" t="str">
            <v>TIER 1</v>
          </cell>
          <cell r="G94" t="str">
            <v>SKILLED</v>
          </cell>
          <cell r="H94">
            <v>180</v>
          </cell>
          <cell r="I94">
            <v>40668</v>
          </cell>
        </row>
        <row r="95">
          <cell r="A95" t="str">
            <v>GONG ZHIHUA</v>
          </cell>
          <cell r="B95" t="str">
            <v>0 72255860</v>
          </cell>
          <cell r="C95">
            <v>39501</v>
          </cell>
          <cell r="D95" t="str">
            <v>WP LIVE</v>
          </cell>
          <cell r="E95">
            <v>40962</v>
          </cell>
          <cell r="F95" t="str">
            <v>TIER 1</v>
          </cell>
          <cell r="G95" t="str">
            <v>SKILLED</v>
          </cell>
          <cell r="H95">
            <v>180</v>
          </cell>
          <cell r="I95">
            <v>39569</v>
          </cell>
        </row>
        <row r="96">
          <cell r="A96" t="str">
            <v>GU BAO MEI</v>
          </cell>
          <cell r="B96" t="str">
            <v>0 57981504</v>
          </cell>
          <cell r="C96">
            <v>39402</v>
          </cell>
          <cell r="D96" t="str">
            <v>WP LIVE</v>
          </cell>
          <cell r="E96">
            <v>41215</v>
          </cell>
          <cell r="F96" t="str">
            <v>TIER 1</v>
          </cell>
          <cell r="G96" t="str">
            <v>SKILLED</v>
          </cell>
          <cell r="H96">
            <v>180</v>
          </cell>
          <cell r="I96">
            <v>39402</v>
          </cell>
        </row>
        <row r="97">
          <cell r="A97" t="str">
            <v>GU FENG</v>
          </cell>
          <cell r="B97" t="str">
            <v>0 72353374</v>
          </cell>
          <cell r="C97">
            <v>39534</v>
          </cell>
          <cell r="D97" t="str">
            <v>WP LIVE</v>
          </cell>
          <cell r="E97">
            <v>40997</v>
          </cell>
          <cell r="F97" t="str">
            <v>TIER 1</v>
          </cell>
          <cell r="G97" t="str">
            <v>SKILLED</v>
          </cell>
          <cell r="H97">
            <v>180</v>
          </cell>
          <cell r="I97">
            <v>40269</v>
          </cell>
        </row>
        <row r="98">
          <cell r="A98" t="str">
            <v>GU FENG WEI</v>
          </cell>
          <cell r="B98" t="str">
            <v>0 57708018</v>
          </cell>
          <cell r="C98">
            <v>39259</v>
          </cell>
          <cell r="D98" t="str">
            <v>WP LIVE</v>
          </cell>
          <cell r="E98">
            <v>40753</v>
          </cell>
          <cell r="F98" t="str">
            <v>TIER 1</v>
          </cell>
          <cell r="G98" t="str">
            <v>SKILLED</v>
          </cell>
          <cell r="H98">
            <v>180</v>
          </cell>
          <cell r="I98">
            <v>39259</v>
          </cell>
        </row>
        <row r="99">
          <cell r="A99" t="str">
            <v>GU XIAOHUA</v>
          </cell>
          <cell r="B99" t="str">
            <v>0 72604369</v>
          </cell>
          <cell r="C99">
            <v>39597</v>
          </cell>
          <cell r="D99" t="str">
            <v>WP LIVE</v>
          </cell>
          <cell r="E99">
            <v>41057</v>
          </cell>
          <cell r="F99" t="str">
            <v>TIER 1</v>
          </cell>
          <cell r="G99" t="str">
            <v>SKILLED</v>
          </cell>
          <cell r="H99">
            <v>180</v>
          </cell>
          <cell r="I99">
            <v>40330</v>
          </cell>
        </row>
        <row r="100">
          <cell r="A100" t="str">
            <v>GUAN LI</v>
          </cell>
          <cell r="B100" t="str">
            <v>0 73133688</v>
          </cell>
          <cell r="C100">
            <v>39799</v>
          </cell>
          <cell r="D100" t="str">
            <v>WP LIVE</v>
          </cell>
          <cell r="E100">
            <v>41251</v>
          </cell>
          <cell r="F100" t="str">
            <v>TIER 1</v>
          </cell>
          <cell r="G100" t="str">
            <v>SKILLED</v>
          </cell>
          <cell r="H100">
            <v>180</v>
          </cell>
          <cell r="I100">
            <v>39799</v>
          </cell>
        </row>
        <row r="101">
          <cell r="A101" t="str">
            <v>GUAN QINGLING</v>
          </cell>
          <cell r="B101" t="str">
            <v>0 72125223</v>
          </cell>
          <cell r="C101">
            <v>39918</v>
          </cell>
          <cell r="D101" t="str">
            <v>WP LIVE</v>
          </cell>
          <cell r="E101">
            <v>41014</v>
          </cell>
          <cell r="F101" t="str">
            <v>TIER 1</v>
          </cell>
          <cell r="G101" t="str">
            <v>SKILLED</v>
          </cell>
          <cell r="H101">
            <v>180</v>
          </cell>
          <cell r="I101">
            <v>39934</v>
          </cell>
        </row>
        <row r="102">
          <cell r="A102" t="str">
            <v>GUNAVATHY A/P MUTHU KRISHNAN</v>
          </cell>
          <cell r="B102" t="str">
            <v>5 25979253</v>
          </cell>
          <cell r="C102">
            <v>40582</v>
          </cell>
          <cell r="D102" t="str">
            <v>WP LIVE</v>
          </cell>
          <cell r="E102">
            <v>41325</v>
          </cell>
          <cell r="F102" t="str">
            <v>TIER 1</v>
          </cell>
          <cell r="G102" t="str">
            <v>SKILLED</v>
          </cell>
          <cell r="H102">
            <v>180</v>
          </cell>
          <cell r="I102">
            <v>40582</v>
          </cell>
        </row>
        <row r="103">
          <cell r="A103" t="str">
            <v>GUO WENLONG</v>
          </cell>
          <cell r="B103" t="str">
            <v>0 72460014</v>
          </cell>
          <cell r="C103">
            <v>39562</v>
          </cell>
          <cell r="D103" t="str">
            <v>WP LIVE</v>
          </cell>
          <cell r="E103">
            <v>41003</v>
          </cell>
          <cell r="F103" t="str">
            <v>TIER 1</v>
          </cell>
          <cell r="G103" t="str">
            <v>SKILLED</v>
          </cell>
          <cell r="H103">
            <v>180</v>
          </cell>
          <cell r="I103">
            <v>39562</v>
          </cell>
        </row>
        <row r="104">
          <cell r="A104" t="str">
            <v>HAMIDAH BINTI ABD RAHMAN</v>
          </cell>
          <cell r="B104" t="str">
            <v>5 07509002</v>
          </cell>
          <cell r="C104">
            <v>40358</v>
          </cell>
          <cell r="D104" t="str">
            <v>WP LIVE</v>
          </cell>
          <cell r="E104">
            <v>41050</v>
          </cell>
          <cell r="F104" t="str">
            <v>TIER 1</v>
          </cell>
          <cell r="G104" t="str">
            <v>SKILLED</v>
          </cell>
          <cell r="H104">
            <v>180</v>
          </cell>
          <cell r="I104">
            <v>40358</v>
          </cell>
        </row>
        <row r="105">
          <cell r="A105" t="str">
            <v>HASNAN BIN LIWON</v>
          </cell>
          <cell r="B105" t="str">
            <v>3 50971610</v>
          </cell>
          <cell r="C105">
            <v>37693</v>
          </cell>
          <cell r="D105" t="str">
            <v>WP LIVE</v>
          </cell>
          <cell r="E105">
            <v>41181</v>
          </cell>
          <cell r="F105" t="str">
            <v>TIER 1</v>
          </cell>
          <cell r="G105" t="str">
            <v>UNSKILLED</v>
          </cell>
          <cell r="H105">
            <v>280</v>
          </cell>
          <cell r="I105">
            <v>37693</v>
          </cell>
        </row>
        <row r="106">
          <cell r="A106" t="str">
            <v>HE JIAN FENG</v>
          </cell>
          <cell r="B106" t="str">
            <v>0 5784986-</v>
          </cell>
          <cell r="C106">
            <v>39328</v>
          </cell>
          <cell r="D106" t="str">
            <v>WP LIVE</v>
          </cell>
          <cell r="E106">
            <v>40790</v>
          </cell>
          <cell r="F106" t="str">
            <v>TIER 1</v>
          </cell>
          <cell r="G106" t="str">
            <v>SKILLED</v>
          </cell>
          <cell r="H106">
            <v>180</v>
          </cell>
          <cell r="I106">
            <v>39328</v>
          </cell>
        </row>
        <row r="107">
          <cell r="A107" t="str">
            <v>HEMALATA A/P RAJENBRIN</v>
          </cell>
          <cell r="B107" t="str">
            <v>4 01632484</v>
          </cell>
          <cell r="C107">
            <v>40437</v>
          </cell>
          <cell r="D107" t="str">
            <v>WP LIVE</v>
          </cell>
          <cell r="E107">
            <v>41175</v>
          </cell>
          <cell r="F107" t="str">
            <v>TIER 1</v>
          </cell>
          <cell r="G107" t="str">
            <v>SKILLED</v>
          </cell>
          <cell r="H107">
            <v>180</v>
          </cell>
          <cell r="I107">
            <v>40725</v>
          </cell>
        </row>
        <row r="108">
          <cell r="A108" t="str">
            <v>HENG YIK LING</v>
          </cell>
          <cell r="B108" t="str">
            <v>4 02612274</v>
          </cell>
          <cell r="C108">
            <v>40606</v>
          </cell>
          <cell r="D108" t="str">
            <v>WP LIVE</v>
          </cell>
          <cell r="E108">
            <v>41036</v>
          </cell>
          <cell r="F108" t="str">
            <v>TIER 1</v>
          </cell>
          <cell r="G108" t="str">
            <v>SKILLED</v>
          </cell>
          <cell r="H108">
            <v>180</v>
          </cell>
          <cell r="I108">
            <v>40725</v>
          </cell>
        </row>
        <row r="109">
          <cell r="A109" t="str">
            <v>HERMAN BIN BUSTANI</v>
          </cell>
          <cell r="B109" t="str">
            <v>4 02625732</v>
          </cell>
          <cell r="C109">
            <v>39302</v>
          </cell>
          <cell r="D109" t="str">
            <v>WP LIVE</v>
          </cell>
          <cell r="E109">
            <v>40780</v>
          </cell>
          <cell r="F109" t="str">
            <v>TIER 1</v>
          </cell>
          <cell r="G109" t="str">
            <v>SKILLED</v>
          </cell>
          <cell r="H109">
            <v>180</v>
          </cell>
          <cell r="I109">
            <v>39356</v>
          </cell>
        </row>
        <row r="110">
          <cell r="A110" t="str">
            <v>HERNAWATI BINTI ABDUL SAMAT</v>
          </cell>
          <cell r="B110" t="str">
            <v>4 01999809</v>
          </cell>
          <cell r="C110">
            <v>38672</v>
          </cell>
          <cell r="D110" t="str">
            <v>WP LIVE</v>
          </cell>
          <cell r="E110">
            <v>41197</v>
          </cell>
          <cell r="F110" t="str">
            <v>TIER 1</v>
          </cell>
          <cell r="G110" t="str">
            <v>SKILLED</v>
          </cell>
          <cell r="H110">
            <v>180</v>
          </cell>
          <cell r="I110">
            <v>38672</v>
          </cell>
        </row>
        <row r="111">
          <cell r="A111" t="str">
            <v>HONG LIN</v>
          </cell>
          <cell r="B111" t="str">
            <v>0 57845082</v>
          </cell>
          <cell r="C111">
            <v>39323</v>
          </cell>
          <cell r="D111" t="str">
            <v>WP LIVE</v>
          </cell>
          <cell r="E111">
            <v>40790</v>
          </cell>
          <cell r="F111" t="str">
            <v>TIER 1</v>
          </cell>
          <cell r="G111" t="str">
            <v>SKILLED</v>
          </cell>
          <cell r="H111">
            <v>180</v>
          </cell>
          <cell r="I111">
            <v>39323</v>
          </cell>
        </row>
        <row r="112">
          <cell r="A112" t="str">
            <v>HONG MUDAN</v>
          </cell>
          <cell r="B112" t="str">
            <v>0 72239660</v>
          </cell>
          <cell r="C112">
            <v>39496</v>
          </cell>
          <cell r="D112" t="str">
            <v>WP LIVE</v>
          </cell>
          <cell r="E112">
            <v>40956</v>
          </cell>
          <cell r="F112" t="str">
            <v>TIER 1</v>
          </cell>
          <cell r="G112" t="str">
            <v>SKILLED</v>
          </cell>
          <cell r="H112">
            <v>180</v>
          </cell>
          <cell r="I112">
            <v>39569</v>
          </cell>
        </row>
        <row r="113">
          <cell r="A113" t="str">
            <v>HOU ZHONGYUAN</v>
          </cell>
          <cell r="B113" t="str">
            <v>0 56527230</v>
          </cell>
          <cell r="C113">
            <v>37700</v>
          </cell>
          <cell r="D113" t="str">
            <v>WP LIVE</v>
          </cell>
          <cell r="E113">
            <v>41417</v>
          </cell>
          <cell r="F113" t="str">
            <v>TIER 1</v>
          </cell>
          <cell r="G113" t="str">
            <v>UNSKILLED</v>
          </cell>
          <cell r="H113">
            <v>280</v>
          </cell>
          <cell r="I113">
            <v>37700</v>
          </cell>
        </row>
        <row r="114">
          <cell r="A114" t="str">
            <v>HU FANGXIN</v>
          </cell>
          <cell r="B114" t="str">
            <v>0 72418808</v>
          </cell>
          <cell r="C114">
            <v>39547</v>
          </cell>
          <cell r="D114" t="str">
            <v>WP LIVE</v>
          </cell>
          <cell r="E114">
            <v>41011</v>
          </cell>
          <cell r="F114" t="str">
            <v>TIER 1</v>
          </cell>
          <cell r="G114" t="str">
            <v>SKILLED</v>
          </cell>
          <cell r="H114">
            <v>180</v>
          </cell>
          <cell r="I114">
            <v>40299</v>
          </cell>
        </row>
        <row r="115">
          <cell r="A115" t="str">
            <v>HU FUSHAN</v>
          </cell>
          <cell r="B115" t="str">
            <v>0 56499334</v>
          </cell>
          <cell r="C115">
            <v>37775</v>
          </cell>
          <cell r="D115" t="str">
            <v>WP LIVE</v>
          </cell>
          <cell r="E115">
            <v>41430</v>
          </cell>
          <cell r="F115" t="str">
            <v>TIER 1</v>
          </cell>
          <cell r="G115" t="str">
            <v>UNSKILLED</v>
          </cell>
          <cell r="H115">
            <v>280</v>
          </cell>
          <cell r="I115">
            <v>37775</v>
          </cell>
        </row>
        <row r="116">
          <cell r="A116" t="str">
            <v>HU HAI HONG</v>
          </cell>
          <cell r="B116" t="str">
            <v>0 7323221-</v>
          </cell>
          <cell r="C116">
            <v>39862</v>
          </cell>
          <cell r="D116" t="str">
            <v>WP LIVE</v>
          </cell>
          <cell r="E116">
            <v>41299</v>
          </cell>
          <cell r="F116" t="str">
            <v>TIER 1</v>
          </cell>
          <cell r="G116" t="str">
            <v>SKILLED</v>
          </cell>
          <cell r="H116">
            <v>180</v>
          </cell>
          <cell r="I116">
            <v>40725</v>
          </cell>
        </row>
        <row r="117">
          <cell r="A117" t="str">
            <v>HU QINGHUA</v>
          </cell>
          <cell r="B117" t="str">
            <v>0 7291497-</v>
          </cell>
          <cell r="C117">
            <v>39707</v>
          </cell>
          <cell r="D117" t="str">
            <v>WP LIVE</v>
          </cell>
          <cell r="E117">
            <v>41167</v>
          </cell>
          <cell r="F117" t="str">
            <v>TIER 1</v>
          </cell>
          <cell r="G117" t="str">
            <v>SKILLED</v>
          </cell>
          <cell r="H117">
            <v>180</v>
          </cell>
          <cell r="I117">
            <v>40725</v>
          </cell>
        </row>
        <row r="118">
          <cell r="A118" t="str">
            <v>HU ZHAOYANG</v>
          </cell>
          <cell r="B118" t="str">
            <v>0 72528387</v>
          </cell>
          <cell r="C118">
            <v>39577</v>
          </cell>
          <cell r="D118" t="str">
            <v>WP LIVE</v>
          </cell>
          <cell r="E118">
            <v>41039</v>
          </cell>
          <cell r="F118" t="str">
            <v>TIER 1</v>
          </cell>
          <cell r="G118" t="str">
            <v>SKILLED</v>
          </cell>
          <cell r="H118">
            <v>180</v>
          </cell>
          <cell r="I118">
            <v>40087</v>
          </cell>
        </row>
        <row r="119">
          <cell r="A119" t="str">
            <v>HUA YONG SHENG</v>
          </cell>
          <cell r="B119" t="str">
            <v>0 72206509</v>
          </cell>
          <cell r="C119">
            <v>39476</v>
          </cell>
          <cell r="D119" t="str">
            <v>WP LIVE</v>
          </cell>
          <cell r="E119">
            <v>41434</v>
          </cell>
          <cell r="F119" t="str">
            <v>TIER 1</v>
          </cell>
          <cell r="G119" t="str">
            <v>SKILLED</v>
          </cell>
          <cell r="H119">
            <v>180</v>
          </cell>
          <cell r="I119">
            <v>39508</v>
          </cell>
        </row>
        <row r="120">
          <cell r="A120" t="str">
            <v>HUANG AIQIN</v>
          </cell>
          <cell r="B120" t="str">
            <v>0 73169720</v>
          </cell>
          <cell r="C120">
            <v>39818</v>
          </cell>
          <cell r="D120" t="str">
            <v>WP LIVE</v>
          </cell>
          <cell r="E120">
            <v>41271</v>
          </cell>
          <cell r="F120" t="str">
            <v>TIER 1</v>
          </cell>
          <cell r="G120" t="str">
            <v>SKILLED</v>
          </cell>
          <cell r="H120">
            <v>180</v>
          </cell>
          <cell r="I120">
            <v>39818</v>
          </cell>
        </row>
        <row r="121">
          <cell r="A121" t="str">
            <v>HUANG HONG BING</v>
          </cell>
          <cell r="B121" t="str">
            <v>0 57849835</v>
          </cell>
          <cell r="C121">
            <v>39328</v>
          </cell>
          <cell r="D121" t="str">
            <v>WP LIVE</v>
          </cell>
          <cell r="E121">
            <v>40790</v>
          </cell>
          <cell r="F121" t="str">
            <v>TIER 1</v>
          </cell>
          <cell r="G121" t="str">
            <v>SKILLED</v>
          </cell>
          <cell r="H121">
            <v>180</v>
          </cell>
          <cell r="I121">
            <v>39356</v>
          </cell>
        </row>
        <row r="122">
          <cell r="A122" t="str">
            <v>HUANG YEBO</v>
          </cell>
          <cell r="B122" t="str">
            <v>0 72621514</v>
          </cell>
          <cell r="C122">
            <v>39605</v>
          </cell>
          <cell r="D122" t="str">
            <v>WP LIVE</v>
          </cell>
          <cell r="E122">
            <v>41067</v>
          </cell>
          <cell r="F122" t="str">
            <v>TIER 1</v>
          </cell>
          <cell r="G122" t="str">
            <v>SKILLED</v>
          </cell>
          <cell r="H122">
            <v>180</v>
          </cell>
          <cell r="I122">
            <v>40725</v>
          </cell>
        </row>
        <row r="123">
          <cell r="A123" t="str">
            <v>INDRANI A/P ARULANDU</v>
          </cell>
          <cell r="B123" t="str">
            <v>3 71550151</v>
          </cell>
          <cell r="C123">
            <v>37586</v>
          </cell>
          <cell r="D123" t="str">
            <v>WP LIVE</v>
          </cell>
          <cell r="E123">
            <v>41258</v>
          </cell>
          <cell r="F123" t="str">
            <v>TIER 1</v>
          </cell>
          <cell r="G123" t="str">
            <v>UNSKILLED</v>
          </cell>
          <cell r="H123">
            <v>280</v>
          </cell>
          <cell r="I123">
            <v>37586</v>
          </cell>
        </row>
        <row r="124">
          <cell r="A124" t="str">
            <v>INTARA @ INDARANI A/P GOPALAN</v>
          </cell>
          <cell r="B124" t="str">
            <v>3 41437970</v>
          </cell>
          <cell r="C124">
            <v>36133</v>
          </cell>
          <cell r="D124" t="str">
            <v>WP LIVE</v>
          </cell>
          <cell r="E124">
            <v>40810</v>
          </cell>
          <cell r="F124" t="str">
            <v>TIER 1</v>
          </cell>
          <cell r="G124" t="str">
            <v>UNSKILLED</v>
          </cell>
          <cell r="H124">
            <v>280</v>
          </cell>
          <cell r="I124">
            <v>36133</v>
          </cell>
        </row>
        <row r="125">
          <cell r="A125" t="str">
            <v>INTHERANI A/P KARUPPANAN</v>
          </cell>
          <cell r="B125" t="str">
            <v>3 5729150-</v>
          </cell>
          <cell r="C125">
            <v>36298</v>
          </cell>
          <cell r="D125" t="str">
            <v>WP LIVE</v>
          </cell>
          <cell r="E125">
            <v>41003</v>
          </cell>
          <cell r="F125" t="str">
            <v>TIER 1</v>
          </cell>
          <cell r="G125" t="str">
            <v>UNSKILLED</v>
          </cell>
          <cell r="H125">
            <v>280</v>
          </cell>
          <cell r="I125">
            <v>36298</v>
          </cell>
        </row>
        <row r="126">
          <cell r="A126" t="str">
            <v>INUS BIN SIBIN</v>
          </cell>
          <cell r="B126" t="str">
            <v>6 06345232</v>
          </cell>
          <cell r="C126">
            <v>38327</v>
          </cell>
          <cell r="D126" t="str">
            <v>WP LIVE</v>
          </cell>
          <cell r="E126">
            <v>41276</v>
          </cell>
          <cell r="F126" t="str">
            <v>TIER 1</v>
          </cell>
          <cell r="G126" t="str">
            <v>UNSKILLED</v>
          </cell>
          <cell r="H126">
            <v>280</v>
          </cell>
          <cell r="I126">
            <v>38327</v>
          </cell>
        </row>
        <row r="127">
          <cell r="A127" t="str">
            <v>ISVARI A/P N VELOO</v>
          </cell>
          <cell r="B127" t="str">
            <v>5 06702828</v>
          </cell>
          <cell r="C127">
            <v>38064</v>
          </cell>
          <cell r="D127" t="str">
            <v>WP LIVE</v>
          </cell>
          <cell r="E127">
            <v>41343</v>
          </cell>
          <cell r="F127" t="str">
            <v>TIER 1</v>
          </cell>
          <cell r="G127" t="str">
            <v>UNSKILLED</v>
          </cell>
          <cell r="H127">
            <v>280</v>
          </cell>
          <cell r="I127">
            <v>38064</v>
          </cell>
        </row>
        <row r="128">
          <cell r="A128" t="str">
            <v>JAGIASENU A/P HARISH CHANDRA</v>
          </cell>
          <cell r="B128" t="str">
            <v>3 73529052</v>
          </cell>
          <cell r="C128">
            <v>36880</v>
          </cell>
          <cell r="D128" t="str">
            <v>WP LIVE</v>
          </cell>
          <cell r="E128">
            <v>41131</v>
          </cell>
          <cell r="F128" t="str">
            <v>TIER 1</v>
          </cell>
          <cell r="G128" t="str">
            <v>UNSKILLED</v>
          </cell>
          <cell r="H128">
            <v>280</v>
          </cell>
          <cell r="I128">
            <v>36880</v>
          </cell>
        </row>
        <row r="129">
          <cell r="A129" t="str">
            <v>JAMAL DIN BIN MD IBRAHIM</v>
          </cell>
          <cell r="B129" t="str">
            <v>4 01296298</v>
          </cell>
          <cell r="C129">
            <v>37442</v>
          </cell>
          <cell r="D129" t="str">
            <v>WP LIVE</v>
          </cell>
          <cell r="E129">
            <v>41112</v>
          </cell>
          <cell r="F129" t="str">
            <v>TIER 1</v>
          </cell>
          <cell r="G129" t="str">
            <v>UNSKILLED</v>
          </cell>
          <cell r="H129">
            <v>280</v>
          </cell>
          <cell r="I129">
            <v>37442</v>
          </cell>
        </row>
        <row r="130">
          <cell r="A130" t="str">
            <v>JANAKI A/P MUNIANDY</v>
          </cell>
          <cell r="B130" t="str">
            <v>4 0339260-</v>
          </cell>
          <cell r="C130">
            <v>40288</v>
          </cell>
          <cell r="D130" t="str">
            <v>WP LIVE</v>
          </cell>
          <cell r="E130">
            <v>41032</v>
          </cell>
          <cell r="F130" t="str">
            <v>TIER 1</v>
          </cell>
          <cell r="G130" t="str">
            <v>SKILLED</v>
          </cell>
          <cell r="H130">
            <v>180</v>
          </cell>
          <cell r="I130">
            <v>40288</v>
          </cell>
        </row>
        <row r="131">
          <cell r="A131" t="str">
            <v>JANAKY A/P SUPPIAH</v>
          </cell>
          <cell r="B131" t="str">
            <v>3 54410699</v>
          </cell>
          <cell r="C131">
            <v>35668</v>
          </cell>
          <cell r="D131" t="str">
            <v>WP LIVE</v>
          </cell>
          <cell r="E131">
            <v>40949</v>
          </cell>
          <cell r="F131" t="str">
            <v>TIER 1</v>
          </cell>
          <cell r="G131" t="str">
            <v>UNSKILLED</v>
          </cell>
          <cell r="H131">
            <v>280</v>
          </cell>
          <cell r="I131">
            <v>35668</v>
          </cell>
        </row>
        <row r="132">
          <cell r="A132" t="str">
            <v>JANSY A/P VASU</v>
          </cell>
          <cell r="B132" t="str">
            <v>4 01552278</v>
          </cell>
          <cell r="C132">
            <v>40661</v>
          </cell>
          <cell r="D132" t="str">
            <v>WP LIVE</v>
          </cell>
          <cell r="E132">
            <v>41081</v>
          </cell>
          <cell r="F132" t="str">
            <v>TIER 1</v>
          </cell>
          <cell r="G132" t="str">
            <v>SKILLED</v>
          </cell>
          <cell r="H132">
            <v>180</v>
          </cell>
          <cell r="I132">
            <v>40661</v>
          </cell>
        </row>
        <row r="133">
          <cell r="A133" t="str">
            <v>JASMIZAN BIN YUSOF</v>
          </cell>
          <cell r="B133" t="str">
            <v>4 03597708</v>
          </cell>
          <cell r="C133">
            <v>40505</v>
          </cell>
          <cell r="D133" t="str">
            <v>WP LIVE</v>
          </cell>
          <cell r="E133">
            <v>41157</v>
          </cell>
          <cell r="F133" t="str">
            <v>TIER 1</v>
          </cell>
          <cell r="G133" t="str">
            <v>SKILLED</v>
          </cell>
          <cell r="H133">
            <v>180</v>
          </cell>
          <cell r="I133">
            <v>40725</v>
          </cell>
        </row>
        <row r="134">
          <cell r="A134" t="str">
            <v>JAYA KUMAR A/L SUBRAMANIAM</v>
          </cell>
          <cell r="B134" t="str">
            <v>4 00417156</v>
          </cell>
          <cell r="C134">
            <v>39483</v>
          </cell>
          <cell r="D134" t="str">
            <v>WP LIVE</v>
          </cell>
          <cell r="E134">
            <v>40958</v>
          </cell>
          <cell r="F134" t="str">
            <v>TIER 1</v>
          </cell>
          <cell r="G134" t="str">
            <v>SKILLED</v>
          </cell>
          <cell r="H134">
            <v>180</v>
          </cell>
          <cell r="I134">
            <v>39483</v>
          </cell>
        </row>
        <row r="135">
          <cell r="A135" t="str">
            <v>JAYAGANTHI A/L PARAMASIVAM</v>
          </cell>
          <cell r="B135" t="str">
            <v>4 03003492</v>
          </cell>
          <cell r="C135">
            <v>40549</v>
          </cell>
          <cell r="D135" t="str">
            <v>WP LIVE</v>
          </cell>
          <cell r="E135">
            <v>41099</v>
          </cell>
          <cell r="F135" t="str">
            <v>TIER 1</v>
          </cell>
          <cell r="G135" t="str">
            <v>SKILLED</v>
          </cell>
          <cell r="H135">
            <v>180</v>
          </cell>
          <cell r="I135">
            <v>40725</v>
          </cell>
        </row>
        <row r="136">
          <cell r="A136" t="str">
            <v>JAYAMALAR A/P MANOHARAN</v>
          </cell>
          <cell r="B136" t="str">
            <v>4 01121374</v>
          </cell>
          <cell r="C136">
            <v>40518</v>
          </cell>
          <cell r="D136" t="str">
            <v>WP LIVE</v>
          </cell>
          <cell r="E136">
            <v>41256</v>
          </cell>
          <cell r="F136" t="str">
            <v>TIER 1</v>
          </cell>
          <cell r="G136" t="str">
            <v>SKILLED</v>
          </cell>
          <cell r="H136">
            <v>180</v>
          </cell>
          <cell r="I136">
            <v>40725</v>
          </cell>
        </row>
        <row r="137">
          <cell r="A137" t="str">
            <v>JAYENTHI A/P PALANIANDY</v>
          </cell>
          <cell r="B137" t="str">
            <v>5 38828149</v>
          </cell>
          <cell r="C137">
            <v>37930</v>
          </cell>
          <cell r="D137" t="str">
            <v>WP LIVE</v>
          </cell>
          <cell r="E137">
            <v>41404</v>
          </cell>
          <cell r="F137" t="str">
            <v>TIER 1</v>
          </cell>
          <cell r="G137" t="str">
            <v>UNSKILLED</v>
          </cell>
          <cell r="H137">
            <v>280</v>
          </cell>
          <cell r="I137">
            <v>37930</v>
          </cell>
        </row>
        <row r="138">
          <cell r="A138" t="str">
            <v>JEGANATH A/L MUNIANDY</v>
          </cell>
          <cell r="B138" t="str">
            <v>4 0210368-</v>
          </cell>
          <cell r="C138">
            <v>40505</v>
          </cell>
          <cell r="D138" t="str">
            <v>WP LIVE</v>
          </cell>
          <cell r="E138">
            <v>41249</v>
          </cell>
          <cell r="F138" t="str">
            <v>TIER 1</v>
          </cell>
          <cell r="G138" t="str">
            <v>SKILLED</v>
          </cell>
          <cell r="H138">
            <v>180</v>
          </cell>
          <cell r="I138">
            <v>40725</v>
          </cell>
        </row>
        <row r="139">
          <cell r="A139" t="str">
            <v>JENNY JENIFER A/P JOSEPH</v>
          </cell>
          <cell r="B139" t="str">
            <v>4 03574422</v>
          </cell>
          <cell r="C139">
            <v>40471</v>
          </cell>
          <cell r="D139" t="str">
            <v>WP LIVE</v>
          </cell>
          <cell r="E139">
            <v>41129</v>
          </cell>
          <cell r="F139" t="str">
            <v>TIER 1</v>
          </cell>
          <cell r="G139" t="str">
            <v>SKILLED</v>
          </cell>
          <cell r="H139">
            <v>180</v>
          </cell>
          <cell r="I139">
            <v>40471</v>
          </cell>
        </row>
        <row r="140">
          <cell r="A140" t="str">
            <v>JEYARAJ A/L BALAKRISHNAN</v>
          </cell>
          <cell r="B140" t="str">
            <v>5 18241591</v>
          </cell>
          <cell r="C140">
            <v>39416</v>
          </cell>
          <cell r="D140" t="str">
            <v>WP LIVE</v>
          </cell>
          <cell r="E140">
            <v>40883</v>
          </cell>
          <cell r="F140" t="str">
            <v>TIER 1</v>
          </cell>
          <cell r="G140" t="str">
            <v>SKILLED</v>
          </cell>
          <cell r="H140">
            <v>180</v>
          </cell>
          <cell r="I140">
            <v>39416</v>
          </cell>
        </row>
        <row r="141">
          <cell r="A141" t="str">
            <v>JIA FEI</v>
          </cell>
          <cell r="B141" t="str">
            <v>0 57708204</v>
          </cell>
          <cell r="C141">
            <v>39259</v>
          </cell>
          <cell r="D141" t="str">
            <v>WP LIVE</v>
          </cell>
          <cell r="E141">
            <v>41434</v>
          </cell>
          <cell r="F141" t="str">
            <v>TIER 1</v>
          </cell>
          <cell r="G141" t="str">
            <v>SKILLED</v>
          </cell>
          <cell r="H141">
            <v>180</v>
          </cell>
          <cell r="I141">
            <v>39259</v>
          </cell>
        </row>
        <row r="142">
          <cell r="A142" t="str">
            <v>JIA HAIYAN</v>
          </cell>
          <cell r="B142" t="str">
            <v>0 72255755</v>
          </cell>
          <cell r="C142">
            <v>39501</v>
          </cell>
          <cell r="D142" t="str">
            <v>WP LIVE</v>
          </cell>
          <cell r="E142">
            <v>40772</v>
          </cell>
          <cell r="F142" t="str">
            <v>TIER 1</v>
          </cell>
          <cell r="G142" t="str">
            <v>SKILLED</v>
          </cell>
          <cell r="H142">
            <v>180</v>
          </cell>
          <cell r="I142">
            <v>39569</v>
          </cell>
        </row>
        <row r="143">
          <cell r="A143" t="str">
            <v>JIANG QING XIU</v>
          </cell>
          <cell r="B143" t="str">
            <v>0 72161076</v>
          </cell>
          <cell r="C143">
            <v>39463</v>
          </cell>
          <cell r="D143" t="str">
            <v>WP LIVE</v>
          </cell>
          <cell r="E143">
            <v>40924</v>
          </cell>
          <cell r="F143" t="str">
            <v>TIER 1</v>
          </cell>
          <cell r="G143" t="str">
            <v>SKILLED</v>
          </cell>
          <cell r="H143">
            <v>180</v>
          </cell>
          <cell r="I143">
            <v>39463</v>
          </cell>
        </row>
        <row r="144">
          <cell r="A144" t="str">
            <v>JIN CHENG MIN</v>
          </cell>
          <cell r="B144" t="str">
            <v>0 5785023-</v>
          </cell>
          <cell r="C144">
            <v>39328</v>
          </cell>
          <cell r="D144" t="str">
            <v>WP LIVE</v>
          </cell>
          <cell r="E144">
            <v>40790</v>
          </cell>
          <cell r="F144" t="str">
            <v>TIER 1</v>
          </cell>
          <cell r="G144" t="str">
            <v>SKILLED</v>
          </cell>
          <cell r="H144">
            <v>180</v>
          </cell>
          <cell r="I144">
            <v>39328</v>
          </cell>
        </row>
        <row r="145">
          <cell r="A145" t="str">
            <v>K KANDARUBY A/P G KANNUSAMY</v>
          </cell>
          <cell r="B145" t="str">
            <v>5 01715417</v>
          </cell>
          <cell r="C145">
            <v>36991</v>
          </cell>
          <cell r="D145" t="str">
            <v>WP LIVE</v>
          </cell>
          <cell r="E145">
            <v>40968</v>
          </cell>
          <cell r="F145" t="str">
            <v>TIER 1</v>
          </cell>
          <cell r="G145" t="str">
            <v>UNSKILLED</v>
          </cell>
          <cell r="H145">
            <v>280</v>
          </cell>
          <cell r="I145">
            <v>36991</v>
          </cell>
        </row>
        <row r="146">
          <cell r="A146" t="str">
            <v>KALAI SELVAN A/L SEVEGAN</v>
          </cell>
          <cell r="B146" t="str">
            <v>5 29250746</v>
          </cell>
          <cell r="C146">
            <v>40639</v>
          </cell>
          <cell r="D146" t="str">
            <v>WP LIVE</v>
          </cell>
          <cell r="E146">
            <v>41151</v>
          </cell>
          <cell r="F146" t="str">
            <v>TIER 1</v>
          </cell>
          <cell r="G146" t="str">
            <v>SKILLED</v>
          </cell>
          <cell r="H146">
            <v>180</v>
          </cell>
          <cell r="I146">
            <v>40725</v>
          </cell>
        </row>
        <row r="147">
          <cell r="A147" t="str">
            <v>KALIAMAH A/P DARMIAH</v>
          </cell>
          <cell r="B147" t="str">
            <v>5 00779551</v>
          </cell>
          <cell r="C147">
            <v>36326</v>
          </cell>
          <cell r="D147" t="str">
            <v>WP LIVE</v>
          </cell>
          <cell r="E147">
            <v>41317</v>
          </cell>
          <cell r="F147" t="str">
            <v>TIER 1</v>
          </cell>
          <cell r="G147" t="str">
            <v>UNSKILLED</v>
          </cell>
          <cell r="H147">
            <v>280</v>
          </cell>
          <cell r="I147">
            <v>36326</v>
          </cell>
        </row>
        <row r="148">
          <cell r="A148" t="str">
            <v>KALIANI A/P MAHARATHAN</v>
          </cell>
          <cell r="B148" t="str">
            <v>5 2570713-</v>
          </cell>
          <cell r="C148">
            <v>38133</v>
          </cell>
          <cell r="D148" t="str">
            <v>WP LIVE</v>
          </cell>
          <cell r="E148">
            <v>41344</v>
          </cell>
          <cell r="F148" t="str">
            <v>TIER 1</v>
          </cell>
          <cell r="G148" t="str">
            <v>UNSKILLED</v>
          </cell>
          <cell r="H148">
            <v>280</v>
          </cell>
          <cell r="I148">
            <v>38133</v>
          </cell>
        </row>
        <row r="149">
          <cell r="A149" t="str">
            <v>KALIMUTHU A/L RAMAN</v>
          </cell>
          <cell r="B149" t="str">
            <v>5 30520943</v>
          </cell>
          <cell r="C149">
            <v>40492</v>
          </cell>
          <cell r="D149" t="str">
            <v>WP LIVE</v>
          </cell>
          <cell r="E149">
            <v>41206</v>
          </cell>
          <cell r="F149" t="str">
            <v>TIER 1</v>
          </cell>
          <cell r="G149" t="str">
            <v>SKILLED</v>
          </cell>
          <cell r="H149">
            <v>180</v>
          </cell>
          <cell r="I149">
            <v>40725</v>
          </cell>
        </row>
        <row r="150">
          <cell r="A150" t="str">
            <v>KALIMUTHU A/L SELLAN</v>
          </cell>
          <cell r="B150" t="str">
            <v>5 20854452</v>
          </cell>
          <cell r="C150">
            <v>35180</v>
          </cell>
          <cell r="D150" t="str">
            <v>WP LIVE</v>
          </cell>
          <cell r="E150">
            <v>41276</v>
          </cell>
          <cell r="F150" t="str">
            <v>TIER 1</v>
          </cell>
          <cell r="G150" t="str">
            <v>SKILLED</v>
          </cell>
          <cell r="H150">
            <v>180</v>
          </cell>
          <cell r="I150">
            <v>35180</v>
          </cell>
        </row>
        <row r="151">
          <cell r="A151" t="str">
            <v>KAMACHI A/P NAGAPPAN</v>
          </cell>
          <cell r="B151" t="str">
            <v>4 0171538-</v>
          </cell>
          <cell r="C151">
            <v>39507</v>
          </cell>
          <cell r="D151" t="str">
            <v>WP LIVE</v>
          </cell>
          <cell r="E151">
            <v>41301</v>
          </cell>
          <cell r="F151" t="str">
            <v>TIER 1</v>
          </cell>
          <cell r="G151" t="str">
            <v>SKILLED</v>
          </cell>
          <cell r="H151">
            <v>180</v>
          </cell>
          <cell r="I151">
            <v>39507</v>
          </cell>
        </row>
        <row r="152">
          <cell r="A152" t="str">
            <v>KAMARUDIN BIN MUSA</v>
          </cell>
          <cell r="B152" t="str">
            <v>5 13239653</v>
          </cell>
          <cell r="C152">
            <v>40631</v>
          </cell>
          <cell r="D152" t="str">
            <v>WP LIVE</v>
          </cell>
          <cell r="E152">
            <v>41333</v>
          </cell>
          <cell r="F152" t="str">
            <v>TIER 1</v>
          </cell>
          <cell r="G152" t="str">
            <v>SKILLED</v>
          </cell>
          <cell r="H152">
            <v>180</v>
          </cell>
          <cell r="I152">
            <v>40725</v>
          </cell>
        </row>
        <row r="153">
          <cell r="A153" t="str">
            <v>KAMILA WATI BINTI AB RAHMAN</v>
          </cell>
          <cell r="B153" t="str">
            <v>5 16607165</v>
          </cell>
          <cell r="C153">
            <v>40575</v>
          </cell>
          <cell r="D153" t="str">
            <v>WP LIVE</v>
          </cell>
          <cell r="E153">
            <v>41219</v>
          </cell>
          <cell r="F153" t="str">
            <v>TIER 1</v>
          </cell>
          <cell r="G153" t="str">
            <v>SKILLED</v>
          </cell>
          <cell r="H153">
            <v>180</v>
          </cell>
          <cell r="I153">
            <v>40575</v>
          </cell>
        </row>
        <row r="154">
          <cell r="A154" t="str">
            <v>KANAKEE A/P NARAYANAN</v>
          </cell>
          <cell r="B154" t="str">
            <v>3 81871495</v>
          </cell>
          <cell r="C154">
            <v>36265</v>
          </cell>
          <cell r="D154" t="str">
            <v>WP LIVE</v>
          </cell>
          <cell r="E154">
            <v>40868</v>
          </cell>
          <cell r="F154" t="str">
            <v>TIER 1</v>
          </cell>
          <cell r="G154" t="str">
            <v>UNSKILLED</v>
          </cell>
          <cell r="H154">
            <v>280</v>
          </cell>
          <cell r="I154">
            <v>36265</v>
          </cell>
        </row>
        <row r="155">
          <cell r="A155" t="str">
            <v>KANCHANA A/P SASIDARAN</v>
          </cell>
          <cell r="B155" t="str">
            <v>4 03575828</v>
          </cell>
          <cell r="C155">
            <v>40654</v>
          </cell>
          <cell r="D155" t="str">
            <v>WP LIVE</v>
          </cell>
          <cell r="E155">
            <v>41397</v>
          </cell>
          <cell r="F155" t="str">
            <v>TIER 1</v>
          </cell>
          <cell r="G155" t="str">
            <v>SKILLED</v>
          </cell>
          <cell r="H155">
            <v>180</v>
          </cell>
          <cell r="I155">
            <v>40654</v>
          </cell>
        </row>
        <row r="156">
          <cell r="A156" t="str">
            <v>KARTHIKEYAN A/L JAIYASEMAN</v>
          </cell>
          <cell r="B156" t="str">
            <v>4 03395579</v>
          </cell>
          <cell r="C156">
            <v>40716</v>
          </cell>
          <cell r="D156" t="str">
            <v>WP APPROVED</v>
          </cell>
          <cell r="F156" t="str">
            <v>TIER 1</v>
          </cell>
          <cell r="G156" t="str">
            <v>SKILLED</v>
          </cell>
          <cell r="H156">
            <v>180</v>
          </cell>
          <cell r="I156">
            <v>40725</v>
          </cell>
        </row>
        <row r="157">
          <cell r="A157" t="str">
            <v>KEK SEW KIM</v>
          </cell>
          <cell r="B157" t="str">
            <v>3 46489537</v>
          </cell>
          <cell r="C157">
            <v>35961</v>
          </cell>
          <cell r="D157" t="str">
            <v>WP LIVE</v>
          </cell>
          <cell r="E157">
            <v>41385</v>
          </cell>
          <cell r="F157" t="str">
            <v>TIER 1</v>
          </cell>
          <cell r="G157" t="str">
            <v>UNSKILLED</v>
          </cell>
          <cell r="H157">
            <v>280</v>
          </cell>
          <cell r="I157">
            <v>35961</v>
          </cell>
        </row>
        <row r="158">
          <cell r="A158" t="str">
            <v>KELEMAGAL A/P THIRUPATHY RAJOO</v>
          </cell>
          <cell r="B158" t="str">
            <v>3 81730549</v>
          </cell>
          <cell r="C158">
            <v>37793</v>
          </cell>
          <cell r="D158" t="str">
            <v>WP LIVE</v>
          </cell>
          <cell r="E158">
            <v>41379</v>
          </cell>
          <cell r="F158" t="str">
            <v>TIER 1</v>
          </cell>
          <cell r="G158" t="str">
            <v>UNSKILLED</v>
          </cell>
          <cell r="H158">
            <v>280</v>
          </cell>
          <cell r="I158">
            <v>37793</v>
          </cell>
        </row>
        <row r="159">
          <cell r="A159" t="str">
            <v>KHAIRUL ALIMAN BIN ABDUL SAMAT</v>
          </cell>
          <cell r="B159" t="str">
            <v>4 03278572</v>
          </cell>
          <cell r="C159">
            <v>40184</v>
          </cell>
          <cell r="D159" t="str">
            <v>WP LIVE</v>
          </cell>
          <cell r="E159">
            <v>40864</v>
          </cell>
          <cell r="F159" t="str">
            <v>TIER 1</v>
          </cell>
          <cell r="G159" t="str">
            <v>SKILLED</v>
          </cell>
          <cell r="H159">
            <v>180</v>
          </cell>
          <cell r="I159">
            <v>40184</v>
          </cell>
        </row>
        <row r="160">
          <cell r="A160" t="str">
            <v>KOMATHY A/P KRISHNAN</v>
          </cell>
          <cell r="B160" t="str">
            <v>4 03392537</v>
          </cell>
          <cell r="C160">
            <v>40597</v>
          </cell>
          <cell r="D160" t="str">
            <v>WP LIVE</v>
          </cell>
          <cell r="E160">
            <v>40961</v>
          </cell>
          <cell r="F160" t="str">
            <v>TIER 1</v>
          </cell>
          <cell r="G160" t="str">
            <v>SKILLED</v>
          </cell>
          <cell r="H160">
            <v>180</v>
          </cell>
          <cell r="I160">
            <v>40597</v>
          </cell>
        </row>
        <row r="161">
          <cell r="A161" t="str">
            <v>KONG QINGJING</v>
          </cell>
          <cell r="B161" t="str">
            <v>0 72747682</v>
          </cell>
          <cell r="C161">
            <v>39645</v>
          </cell>
          <cell r="D161" t="str">
            <v>WP LIVE</v>
          </cell>
          <cell r="E161">
            <v>41112</v>
          </cell>
          <cell r="F161" t="str">
            <v>TIER 1</v>
          </cell>
          <cell r="G161" t="str">
            <v>SKILLED</v>
          </cell>
          <cell r="H161">
            <v>180</v>
          </cell>
          <cell r="I161">
            <v>39645</v>
          </cell>
        </row>
        <row r="162">
          <cell r="A162" t="str">
            <v>KOSSALLAI A/P GOVINDAN</v>
          </cell>
          <cell r="B162" t="str">
            <v>5 01144207</v>
          </cell>
          <cell r="C162">
            <v>36260</v>
          </cell>
          <cell r="D162" t="str">
            <v>WP LIVE</v>
          </cell>
          <cell r="E162">
            <v>41276</v>
          </cell>
          <cell r="F162" t="str">
            <v>TIER 1</v>
          </cell>
          <cell r="G162" t="str">
            <v>UNSKILLED</v>
          </cell>
          <cell r="H162">
            <v>280</v>
          </cell>
          <cell r="I162">
            <v>36260</v>
          </cell>
        </row>
        <row r="163">
          <cell r="A163" t="str">
            <v>KRISHNA MOORTHY A/L RAMAL</v>
          </cell>
          <cell r="B163" t="str">
            <v>4 00317984</v>
          </cell>
          <cell r="C163">
            <v>35887</v>
          </cell>
          <cell r="D163" t="str">
            <v>WP LIVE</v>
          </cell>
          <cell r="E163">
            <v>41379</v>
          </cell>
          <cell r="F163" t="str">
            <v>TIER 1</v>
          </cell>
          <cell r="G163" t="str">
            <v>UNSKILLED</v>
          </cell>
          <cell r="H163">
            <v>280</v>
          </cell>
          <cell r="I163">
            <v>40725</v>
          </cell>
        </row>
        <row r="164">
          <cell r="A164" t="str">
            <v>KRISHNAMURTHY A/L RAMAN</v>
          </cell>
          <cell r="B164" t="str">
            <v>4 00396329</v>
          </cell>
          <cell r="C164">
            <v>40617</v>
          </cell>
          <cell r="D164" t="str">
            <v>WP LIVE</v>
          </cell>
          <cell r="E164">
            <v>41357</v>
          </cell>
          <cell r="F164" t="str">
            <v>TIER 1</v>
          </cell>
          <cell r="G164" t="str">
            <v>SKILLED</v>
          </cell>
          <cell r="H164">
            <v>180</v>
          </cell>
          <cell r="I164">
            <v>40617</v>
          </cell>
        </row>
        <row r="165">
          <cell r="A165" t="str">
            <v>KUMAR A/L THEVARAJU</v>
          </cell>
          <cell r="B165" t="str">
            <v>5 20039945</v>
          </cell>
          <cell r="C165">
            <v>36880</v>
          </cell>
          <cell r="D165" t="str">
            <v>WP LIVE</v>
          </cell>
          <cell r="E165">
            <v>41265</v>
          </cell>
          <cell r="F165" t="str">
            <v>TIER 1</v>
          </cell>
          <cell r="G165" t="str">
            <v>SKILLED</v>
          </cell>
          <cell r="H165">
            <v>180</v>
          </cell>
          <cell r="I165">
            <v>36880</v>
          </cell>
        </row>
        <row r="166">
          <cell r="A166" t="str">
            <v>KUPPUMAH A/P MARIMUTHOO</v>
          </cell>
          <cell r="B166" t="str">
            <v>3 80412829</v>
          </cell>
          <cell r="C166">
            <v>35950</v>
          </cell>
          <cell r="D166" t="str">
            <v>WP LIVE</v>
          </cell>
          <cell r="E166">
            <v>41219</v>
          </cell>
          <cell r="F166" t="str">
            <v>TIER 1</v>
          </cell>
          <cell r="G166" t="str">
            <v>UNSKILLED</v>
          </cell>
          <cell r="H166">
            <v>280</v>
          </cell>
          <cell r="I166">
            <v>35950</v>
          </cell>
        </row>
        <row r="167">
          <cell r="A167" t="str">
            <v>KUTAMMAH A/P PACKIRISAMY</v>
          </cell>
          <cell r="B167" t="str">
            <v>3 56770331</v>
          </cell>
          <cell r="C167">
            <v>37306</v>
          </cell>
          <cell r="D167" t="str">
            <v>WP LIVE</v>
          </cell>
          <cell r="E167">
            <v>41247</v>
          </cell>
          <cell r="F167" t="str">
            <v>TIER 1</v>
          </cell>
          <cell r="G167" t="str">
            <v>UNSKILLED</v>
          </cell>
          <cell r="H167">
            <v>280</v>
          </cell>
          <cell r="I167">
            <v>37306</v>
          </cell>
        </row>
        <row r="168">
          <cell r="A168" t="str">
            <v>LAI MOI MOI</v>
          </cell>
          <cell r="B168" t="str">
            <v>3 83957370</v>
          </cell>
          <cell r="C168">
            <v>35921</v>
          </cell>
          <cell r="D168" t="str">
            <v>WP LIVE</v>
          </cell>
          <cell r="E168">
            <v>41063</v>
          </cell>
          <cell r="F168" t="str">
            <v>TIER 1</v>
          </cell>
          <cell r="G168" t="str">
            <v>UNSKILLED</v>
          </cell>
          <cell r="H168">
            <v>280</v>
          </cell>
          <cell r="I168">
            <v>35921</v>
          </cell>
        </row>
        <row r="169">
          <cell r="A169" t="str">
            <v>LAI SHI WEI</v>
          </cell>
          <cell r="B169" t="str">
            <v>4 03535095</v>
          </cell>
          <cell r="C169">
            <v>40654</v>
          </cell>
          <cell r="D169" t="str">
            <v>WP LIVE</v>
          </cell>
          <cell r="E169">
            <v>41397</v>
          </cell>
          <cell r="F169" t="str">
            <v>TIER 1</v>
          </cell>
          <cell r="G169" t="str">
            <v>SKILLED</v>
          </cell>
          <cell r="H169">
            <v>180</v>
          </cell>
          <cell r="I169">
            <v>40654</v>
          </cell>
        </row>
        <row r="170">
          <cell r="A170" t="str">
            <v>LAM MEI KUAN</v>
          </cell>
          <cell r="B170" t="str">
            <v>4 00779279</v>
          </cell>
          <cell r="C170">
            <v>40549</v>
          </cell>
          <cell r="D170" t="str">
            <v>WP LIVE</v>
          </cell>
          <cell r="E170">
            <v>41305</v>
          </cell>
          <cell r="F170" t="str">
            <v>TIER 1</v>
          </cell>
          <cell r="G170" t="str">
            <v>SKILLED</v>
          </cell>
          <cell r="H170">
            <v>180</v>
          </cell>
          <cell r="I170">
            <v>40725</v>
          </cell>
        </row>
        <row r="171">
          <cell r="A171" t="str">
            <v>LAVERNE BINTI LOWRANCE</v>
          </cell>
          <cell r="B171" t="str">
            <v>4 01945504</v>
          </cell>
          <cell r="C171">
            <v>39685</v>
          </cell>
          <cell r="D171" t="str">
            <v>WP LIVE</v>
          </cell>
          <cell r="E171">
            <v>41032</v>
          </cell>
          <cell r="F171" t="str">
            <v>TIER 1</v>
          </cell>
          <cell r="G171" t="str">
            <v>SKILLED</v>
          </cell>
          <cell r="H171">
            <v>180</v>
          </cell>
          <cell r="I171">
            <v>39685</v>
          </cell>
        </row>
        <row r="172">
          <cell r="A172" t="str">
            <v>LAW FONG LING</v>
          </cell>
          <cell r="B172" t="str">
            <v>4 03702439</v>
          </cell>
          <cell r="C172">
            <v>40618</v>
          </cell>
          <cell r="D172" t="str">
            <v>WP LIVE</v>
          </cell>
          <cell r="E172">
            <v>41367</v>
          </cell>
          <cell r="F172" t="str">
            <v>TIER 1</v>
          </cell>
          <cell r="G172" t="str">
            <v>SKILLED</v>
          </cell>
          <cell r="H172">
            <v>180</v>
          </cell>
          <cell r="I172">
            <v>40618</v>
          </cell>
        </row>
        <row r="173">
          <cell r="A173" t="str">
            <v>LEE BEE LIAN</v>
          </cell>
          <cell r="B173" t="str">
            <v>3 47147508</v>
          </cell>
          <cell r="C173">
            <v>37862</v>
          </cell>
          <cell r="D173" t="str">
            <v>WP LIVE</v>
          </cell>
          <cell r="E173">
            <v>41352</v>
          </cell>
          <cell r="F173" t="str">
            <v>TIER 1</v>
          </cell>
          <cell r="G173" t="str">
            <v>UNSKILLED</v>
          </cell>
          <cell r="H173">
            <v>280</v>
          </cell>
          <cell r="I173">
            <v>37862</v>
          </cell>
        </row>
        <row r="174">
          <cell r="A174" t="str">
            <v>LEE CHOON SIM</v>
          </cell>
          <cell r="B174" t="str">
            <v>3 47406279</v>
          </cell>
          <cell r="C174">
            <v>37659</v>
          </cell>
          <cell r="D174" t="str">
            <v>WP LIVE</v>
          </cell>
          <cell r="E174">
            <v>41328</v>
          </cell>
          <cell r="F174" t="str">
            <v>TIER 1</v>
          </cell>
          <cell r="G174" t="str">
            <v>UNSKILLED</v>
          </cell>
          <cell r="H174">
            <v>280</v>
          </cell>
          <cell r="I174">
            <v>37659</v>
          </cell>
        </row>
        <row r="175">
          <cell r="A175" t="str">
            <v>LEE LIONG SIANG</v>
          </cell>
          <cell r="B175" t="str">
            <v>4 0221788-</v>
          </cell>
          <cell r="C175">
            <v>40470</v>
          </cell>
          <cell r="D175" t="str">
            <v>WP LIVE</v>
          </cell>
          <cell r="E175">
            <v>41216</v>
          </cell>
          <cell r="F175" t="str">
            <v>TIER 1</v>
          </cell>
          <cell r="G175" t="str">
            <v>SKILLED</v>
          </cell>
          <cell r="H175">
            <v>180</v>
          </cell>
          <cell r="I175">
            <v>40725</v>
          </cell>
        </row>
        <row r="176">
          <cell r="A176" t="str">
            <v>LEE LONG KIAT</v>
          </cell>
          <cell r="B176" t="str">
            <v>4 00385041</v>
          </cell>
          <cell r="C176">
            <v>37630</v>
          </cell>
          <cell r="D176" t="str">
            <v>WP LIVE</v>
          </cell>
          <cell r="E176">
            <v>41280</v>
          </cell>
          <cell r="F176" t="str">
            <v>TIER 1</v>
          </cell>
          <cell r="G176" t="str">
            <v>UNSKILLED</v>
          </cell>
          <cell r="H176">
            <v>280</v>
          </cell>
          <cell r="I176">
            <v>37630</v>
          </cell>
        </row>
        <row r="177">
          <cell r="A177" t="str">
            <v>LEE PEI GIA</v>
          </cell>
          <cell r="B177" t="str">
            <v>4 01683666</v>
          </cell>
          <cell r="C177">
            <v>38574</v>
          </cell>
          <cell r="D177" t="str">
            <v>WP LIVE</v>
          </cell>
          <cell r="E177">
            <v>41367</v>
          </cell>
          <cell r="F177" t="str">
            <v>TIER 1</v>
          </cell>
          <cell r="G177" t="str">
            <v>SKILLED</v>
          </cell>
          <cell r="H177">
            <v>180</v>
          </cell>
          <cell r="I177">
            <v>38574</v>
          </cell>
        </row>
        <row r="178">
          <cell r="A178" t="str">
            <v>LEE PEI KHEE</v>
          </cell>
          <cell r="B178" t="str">
            <v>4 03239445</v>
          </cell>
          <cell r="C178">
            <v>40127</v>
          </cell>
          <cell r="D178" t="str">
            <v>WP LIVE</v>
          </cell>
          <cell r="E178">
            <v>40879</v>
          </cell>
          <cell r="F178" t="str">
            <v>TIER 1</v>
          </cell>
          <cell r="G178" t="str">
            <v>SKILLED</v>
          </cell>
          <cell r="H178">
            <v>180</v>
          </cell>
          <cell r="I178">
            <v>40127</v>
          </cell>
        </row>
        <row r="179">
          <cell r="A179" t="str">
            <v>LEE TEA YANG</v>
          </cell>
          <cell r="B179" t="str">
            <v>3 79067786</v>
          </cell>
          <cell r="C179">
            <v>37578</v>
          </cell>
          <cell r="D179" t="str">
            <v>WP LIVE</v>
          </cell>
          <cell r="E179">
            <v>40923</v>
          </cell>
          <cell r="F179" t="str">
            <v>TIER 1</v>
          </cell>
          <cell r="G179" t="str">
            <v>UNSKILLED</v>
          </cell>
          <cell r="H179">
            <v>280</v>
          </cell>
          <cell r="I179">
            <v>37578</v>
          </cell>
        </row>
        <row r="180">
          <cell r="A180" t="str">
            <v>LEE THIAM HEE</v>
          </cell>
          <cell r="B180" t="str">
            <v>3 57105439</v>
          </cell>
          <cell r="C180">
            <v>36285</v>
          </cell>
          <cell r="D180" t="str">
            <v>WP LIVE</v>
          </cell>
          <cell r="E180">
            <v>41296</v>
          </cell>
          <cell r="F180" t="str">
            <v>TIER 1</v>
          </cell>
          <cell r="G180" t="str">
            <v>SKILLED</v>
          </cell>
          <cell r="H180">
            <v>180</v>
          </cell>
          <cell r="I180">
            <v>36285</v>
          </cell>
        </row>
        <row r="181">
          <cell r="A181" t="str">
            <v>LEE YEW CHING</v>
          </cell>
          <cell r="B181" t="str">
            <v>5 22991562</v>
          </cell>
          <cell r="C181">
            <v>40513</v>
          </cell>
          <cell r="D181" t="str">
            <v>WP LIVE</v>
          </cell>
          <cell r="E181">
            <v>41256</v>
          </cell>
          <cell r="F181" t="str">
            <v>TIER 1</v>
          </cell>
          <cell r="G181" t="str">
            <v>SKILLED</v>
          </cell>
          <cell r="H181">
            <v>180</v>
          </cell>
          <cell r="I181">
            <v>40725</v>
          </cell>
        </row>
        <row r="182">
          <cell r="A182" t="str">
            <v>LEELA A/P M PARIATAMBI</v>
          </cell>
          <cell r="B182" t="str">
            <v>3 82409035</v>
          </cell>
          <cell r="C182">
            <v>35004</v>
          </cell>
          <cell r="D182" t="str">
            <v>WP LIVE</v>
          </cell>
          <cell r="E182">
            <v>41005</v>
          </cell>
          <cell r="F182" t="str">
            <v>TIER 1</v>
          </cell>
          <cell r="G182" t="str">
            <v>UNSKILLED</v>
          </cell>
          <cell r="H182">
            <v>280</v>
          </cell>
          <cell r="I182">
            <v>35004</v>
          </cell>
        </row>
        <row r="183">
          <cell r="A183" t="str">
            <v>LEELAH A/P KANDHAN</v>
          </cell>
          <cell r="B183" t="str">
            <v>3 55490335</v>
          </cell>
          <cell r="C183">
            <v>36571</v>
          </cell>
          <cell r="D183" t="str">
            <v>WP LIVE</v>
          </cell>
          <cell r="E183">
            <v>40946</v>
          </cell>
          <cell r="F183" t="str">
            <v>TIER 1</v>
          </cell>
          <cell r="G183" t="str">
            <v>UNSKILLED</v>
          </cell>
          <cell r="H183">
            <v>280</v>
          </cell>
          <cell r="I183">
            <v>36571</v>
          </cell>
        </row>
        <row r="184">
          <cell r="A184" t="str">
            <v>LEENA A/P M VIJAYAN</v>
          </cell>
          <cell r="B184" t="str">
            <v>4 03426571</v>
          </cell>
          <cell r="C184">
            <v>40668</v>
          </cell>
          <cell r="D184" t="str">
            <v>WP LIVE</v>
          </cell>
          <cell r="E184">
            <v>41409</v>
          </cell>
          <cell r="F184" t="str">
            <v>TIER 1</v>
          </cell>
          <cell r="G184" t="str">
            <v>SKILLED</v>
          </cell>
          <cell r="H184">
            <v>180</v>
          </cell>
          <cell r="I184">
            <v>40668</v>
          </cell>
        </row>
        <row r="185">
          <cell r="A185" t="str">
            <v>LEONG YEAN HONG</v>
          </cell>
          <cell r="B185" t="str">
            <v>4 02257652</v>
          </cell>
          <cell r="C185">
            <v>40620</v>
          </cell>
          <cell r="D185" t="str">
            <v>WP LIVE</v>
          </cell>
          <cell r="E185">
            <v>41362</v>
          </cell>
          <cell r="F185" t="str">
            <v>TIER 1</v>
          </cell>
          <cell r="G185" t="str">
            <v>SKILLED</v>
          </cell>
          <cell r="H185">
            <v>180</v>
          </cell>
          <cell r="I185">
            <v>40725</v>
          </cell>
        </row>
        <row r="186">
          <cell r="A186" t="str">
            <v>LETCHUMANAN A/L ALAGAMUTHU</v>
          </cell>
          <cell r="B186" t="str">
            <v>5 14850828</v>
          </cell>
          <cell r="C186">
            <v>36987</v>
          </cell>
          <cell r="D186" t="str">
            <v>WP LIVE</v>
          </cell>
          <cell r="E186">
            <v>40976</v>
          </cell>
          <cell r="F186" t="str">
            <v>TIER 1</v>
          </cell>
          <cell r="G186" t="str">
            <v>SKILLED</v>
          </cell>
          <cell r="H186">
            <v>180</v>
          </cell>
          <cell r="I186">
            <v>36987</v>
          </cell>
        </row>
        <row r="187">
          <cell r="A187" t="str">
            <v>LI AN JIN</v>
          </cell>
          <cell r="B187" t="str">
            <v>0 57850221</v>
          </cell>
          <cell r="C187">
            <v>39328</v>
          </cell>
          <cell r="D187" t="str">
            <v>WP LIVE</v>
          </cell>
          <cell r="E187">
            <v>40790</v>
          </cell>
          <cell r="F187" t="str">
            <v>TIER 1</v>
          </cell>
          <cell r="G187" t="str">
            <v>SKILLED</v>
          </cell>
          <cell r="H187">
            <v>180</v>
          </cell>
          <cell r="I187">
            <v>39356</v>
          </cell>
        </row>
        <row r="188">
          <cell r="A188" t="str">
            <v>LI CHUNHUA</v>
          </cell>
          <cell r="B188" t="str">
            <v>0 7304751-</v>
          </cell>
          <cell r="C188">
            <v>39756</v>
          </cell>
          <cell r="D188" t="str">
            <v>WP LIVE</v>
          </cell>
          <cell r="E188">
            <v>41215</v>
          </cell>
          <cell r="F188" t="str">
            <v>TIER 1</v>
          </cell>
          <cell r="G188" t="str">
            <v>SKILLED</v>
          </cell>
          <cell r="H188">
            <v>180</v>
          </cell>
          <cell r="I188">
            <v>40087</v>
          </cell>
        </row>
        <row r="189">
          <cell r="A189" t="str">
            <v>LI FU HONG</v>
          </cell>
          <cell r="B189" t="str">
            <v>0 57830018</v>
          </cell>
          <cell r="C189">
            <v>39316</v>
          </cell>
          <cell r="D189" t="str">
            <v>WP LIVE</v>
          </cell>
          <cell r="E189">
            <v>40790</v>
          </cell>
          <cell r="F189" t="str">
            <v>TIER 1</v>
          </cell>
          <cell r="G189" t="str">
            <v>SKILLED</v>
          </cell>
          <cell r="H189">
            <v>180</v>
          </cell>
          <cell r="I189">
            <v>39356</v>
          </cell>
        </row>
        <row r="190">
          <cell r="A190" t="str">
            <v>LI HAIFENG</v>
          </cell>
          <cell r="B190" t="str">
            <v>0 73339499</v>
          </cell>
          <cell r="C190">
            <v>39923</v>
          </cell>
          <cell r="D190" t="str">
            <v>WP LIVE</v>
          </cell>
          <cell r="E190">
            <v>41370</v>
          </cell>
          <cell r="F190" t="str">
            <v>TIER 1</v>
          </cell>
          <cell r="G190" t="str">
            <v>SKILLED</v>
          </cell>
          <cell r="H190">
            <v>180</v>
          </cell>
          <cell r="I190">
            <v>39923</v>
          </cell>
        </row>
        <row r="191">
          <cell r="A191" t="str">
            <v>LI KUAIKUAI</v>
          </cell>
          <cell r="B191" t="str">
            <v>0 72316622</v>
          </cell>
          <cell r="C191">
            <v>39521</v>
          </cell>
          <cell r="D191" t="str">
            <v>WP LIVE</v>
          </cell>
          <cell r="E191">
            <v>40972</v>
          </cell>
          <cell r="F191" t="str">
            <v>TIER 1</v>
          </cell>
          <cell r="G191" t="str">
            <v>SKILLED</v>
          </cell>
          <cell r="H191">
            <v>180</v>
          </cell>
          <cell r="I191">
            <v>39569</v>
          </cell>
        </row>
        <row r="192">
          <cell r="A192" t="str">
            <v>LI LIHUI</v>
          </cell>
          <cell r="B192" t="str">
            <v>0 72267389</v>
          </cell>
          <cell r="C192">
            <v>39501</v>
          </cell>
          <cell r="D192" t="str">
            <v>WP LIVE</v>
          </cell>
          <cell r="E192">
            <v>40962</v>
          </cell>
          <cell r="F192" t="str">
            <v>TIER 1</v>
          </cell>
          <cell r="G192" t="str">
            <v>SKILLED</v>
          </cell>
          <cell r="H192">
            <v>180</v>
          </cell>
          <cell r="I192">
            <v>39569</v>
          </cell>
        </row>
        <row r="193">
          <cell r="A193" t="str">
            <v>LI SHUMEI</v>
          </cell>
          <cell r="B193" t="str">
            <v>0 72973100</v>
          </cell>
          <cell r="C193">
            <v>39918</v>
          </cell>
          <cell r="D193" t="str">
            <v>WP LIVE</v>
          </cell>
          <cell r="E193">
            <v>41014</v>
          </cell>
          <cell r="F193" t="str">
            <v>TIER 1</v>
          </cell>
          <cell r="G193" t="str">
            <v>SKILLED</v>
          </cell>
          <cell r="H193">
            <v>180</v>
          </cell>
          <cell r="I193">
            <v>40026</v>
          </cell>
        </row>
        <row r="194">
          <cell r="A194" t="str">
            <v>LI WEILI</v>
          </cell>
          <cell r="B194" t="str">
            <v>0 72315235</v>
          </cell>
          <cell r="C194">
            <v>39521</v>
          </cell>
          <cell r="D194" t="str">
            <v>WP LIVE</v>
          </cell>
          <cell r="E194">
            <v>40972</v>
          </cell>
          <cell r="F194" t="str">
            <v>TIER 1</v>
          </cell>
          <cell r="G194" t="str">
            <v>SKILLED</v>
          </cell>
          <cell r="H194">
            <v>180</v>
          </cell>
          <cell r="I194">
            <v>39569</v>
          </cell>
        </row>
        <row r="195">
          <cell r="A195" t="str">
            <v>LI XIA</v>
          </cell>
          <cell r="B195" t="str">
            <v>0 72059336</v>
          </cell>
          <cell r="C195">
            <v>39423</v>
          </cell>
          <cell r="D195" t="str">
            <v>WP LIVE</v>
          </cell>
          <cell r="E195">
            <v>41167</v>
          </cell>
          <cell r="F195" t="str">
            <v>TIER 1</v>
          </cell>
          <cell r="G195" t="str">
            <v>SKILLED</v>
          </cell>
          <cell r="H195">
            <v>180</v>
          </cell>
          <cell r="I195">
            <v>39423</v>
          </cell>
        </row>
        <row r="196">
          <cell r="A196" t="str">
            <v>LI XUESONG</v>
          </cell>
          <cell r="B196" t="str">
            <v>0 72058828</v>
          </cell>
          <cell r="C196">
            <v>39496</v>
          </cell>
          <cell r="D196" t="str">
            <v>WP LIVE</v>
          </cell>
          <cell r="E196">
            <v>40760</v>
          </cell>
          <cell r="F196" t="str">
            <v>TIER 1</v>
          </cell>
          <cell r="G196" t="str">
            <v>SKILLED</v>
          </cell>
          <cell r="H196">
            <v>180</v>
          </cell>
          <cell r="I196">
            <v>39569</v>
          </cell>
        </row>
        <row r="197">
          <cell r="A197" t="str">
            <v>LI YONGMEI</v>
          </cell>
          <cell r="B197" t="str">
            <v>0 72915062</v>
          </cell>
          <cell r="C197">
            <v>39707</v>
          </cell>
          <cell r="D197" t="str">
            <v>WP LIVE</v>
          </cell>
          <cell r="E197">
            <v>40913</v>
          </cell>
          <cell r="F197" t="str">
            <v>TIER 1</v>
          </cell>
          <cell r="G197" t="str">
            <v>SKILLED</v>
          </cell>
          <cell r="H197">
            <v>180</v>
          </cell>
          <cell r="I197">
            <v>40725</v>
          </cell>
        </row>
        <row r="198">
          <cell r="A198" t="str">
            <v>LIEW SOO FOON</v>
          </cell>
          <cell r="B198" t="str">
            <v>4 00258066</v>
          </cell>
          <cell r="C198">
            <v>36466</v>
          </cell>
          <cell r="D198" t="str">
            <v>WP LIVE</v>
          </cell>
          <cell r="E198">
            <v>41069</v>
          </cell>
          <cell r="F198" t="str">
            <v>TIER 1</v>
          </cell>
          <cell r="G198" t="str">
            <v>SKILLED</v>
          </cell>
          <cell r="H198">
            <v>180</v>
          </cell>
          <cell r="I198">
            <v>36466</v>
          </cell>
        </row>
        <row r="199">
          <cell r="A199" t="str">
            <v>LIM CHIN TIAM</v>
          </cell>
          <cell r="B199" t="str">
            <v>3 56324668</v>
          </cell>
          <cell r="C199">
            <v>38777</v>
          </cell>
          <cell r="D199" t="str">
            <v>WP LIVE</v>
          </cell>
          <cell r="E199">
            <v>40987</v>
          </cell>
          <cell r="F199" t="str">
            <v>TIER 1</v>
          </cell>
          <cell r="G199" t="str">
            <v>SKILLED</v>
          </cell>
          <cell r="H199">
            <v>180</v>
          </cell>
          <cell r="I199">
            <v>38777</v>
          </cell>
        </row>
        <row r="200">
          <cell r="A200" t="str">
            <v>LIM CHOON LIAN</v>
          </cell>
          <cell r="B200" t="str">
            <v>3 61375866</v>
          </cell>
          <cell r="C200">
            <v>37023</v>
          </cell>
          <cell r="D200" t="str">
            <v>WP LIVE</v>
          </cell>
          <cell r="E200">
            <v>41002</v>
          </cell>
          <cell r="F200" t="str">
            <v>TIER 1</v>
          </cell>
          <cell r="G200" t="str">
            <v>SKILLED</v>
          </cell>
          <cell r="H200">
            <v>180</v>
          </cell>
          <cell r="I200">
            <v>37023</v>
          </cell>
        </row>
        <row r="201">
          <cell r="A201" t="str">
            <v>LIM CHUA THONG</v>
          </cell>
          <cell r="B201" t="str">
            <v>3 69961454</v>
          </cell>
          <cell r="C201">
            <v>37870</v>
          </cell>
          <cell r="D201" t="str">
            <v>WP LIVE</v>
          </cell>
          <cell r="E201">
            <v>40889</v>
          </cell>
          <cell r="F201" t="str">
            <v>TIER 1</v>
          </cell>
          <cell r="G201" t="str">
            <v>UNSKILLED</v>
          </cell>
          <cell r="H201">
            <v>280</v>
          </cell>
          <cell r="I201">
            <v>37870</v>
          </cell>
        </row>
        <row r="202">
          <cell r="A202" t="str">
            <v>LIM HUI MIN</v>
          </cell>
          <cell r="B202" t="str">
            <v>4 02769254</v>
          </cell>
          <cell r="C202">
            <v>40148</v>
          </cell>
          <cell r="D202" t="str">
            <v>WP LIVE</v>
          </cell>
          <cell r="E202">
            <v>40845</v>
          </cell>
          <cell r="F202" t="str">
            <v>TIER 1</v>
          </cell>
          <cell r="G202" t="str">
            <v>SKILLED</v>
          </cell>
          <cell r="H202">
            <v>180</v>
          </cell>
          <cell r="I202">
            <v>40725</v>
          </cell>
        </row>
        <row r="203">
          <cell r="A203" t="str">
            <v>LIM KIM LENG</v>
          </cell>
          <cell r="B203" t="str">
            <v>3 57568579</v>
          </cell>
          <cell r="C203">
            <v>40700</v>
          </cell>
          <cell r="D203" t="str">
            <v>WP LIVE</v>
          </cell>
          <cell r="E203">
            <v>41438</v>
          </cell>
          <cell r="F203" t="str">
            <v>TIER 1</v>
          </cell>
          <cell r="G203" t="str">
            <v>SKILLED</v>
          </cell>
          <cell r="H203">
            <v>180</v>
          </cell>
          <cell r="I203">
            <v>40700</v>
          </cell>
        </row>
        <row r="204">
          <cell r="A204" t="str">
            <v>LIM SEE CHIK</v>
          </cell>
          <cell r="B204" t="str">
            <v>4 03165778</v>
          </cell>
          <cell r="C204">
            <v>40329</v>
          </cell>
          <cell r="D204" t="str">
            <v>WP LIVE</v>
          </cell>
          <cell r="E204">
            <v>41075</v>
          </cell>
          <cell r="F204" t="str">
            <v>TIER 1</v>
          </cell>
          <cell r="G204" t="str">
            <v>SKILLED</v>
          </cell>
          <cell r="H204">
            <v>180</v>
          </cell>
          <cell r="I204">
            <v>40329</v>
          </cell>
        </row>
        <row r="205">
          <cell r="A205" t="str">
            <v>LIU CHUNJUAN</v>
          </cell>
          <cell r="B205" t="str">
            <v>0 72166515</v>
          </cell>
          <cell r="C205">
            <v>39918</v>
          </cell>
          <cell r="D205" t="str">
            <v>WP LIVE</v>
          </cell>
          <cell r="E205">
            <v>41014</v>
          </cell>
          <cell r="F205" t="str">
            <v>TIER 1</v>
          </cell>
          <cell r="G205" t="str">
            <v>SKILLED</v>
          </cell>
          <cell r="H205">
            <v>180</v>
          </cell>
          <cell r="I205">
            <v>40026</v>
          </cell>
        </row>
        <row r="206">
          <cell r="A206" t="str">
            <v>LIU CHUNXIANG</v>
          </cell>
          <cell r="B206" t="str">
            <v>0 72410696</v>
          </cell>
          <cell r="C206">
            <v>39546</v>
          </cell>
          <cell r="D206" t="str">
            <v>WP LIVE</v>
          </cell>
          <cell r="E206">
            <v>41003</v>
          </cell>
          <cell r="F206" t="str">
            <v>TIER 1</v>
          </cell>
          <cell r="G206" t="str">
            <v>SKILLED</v>
          </cell>
          <cell r="H206">
            <v>180</v>
          </cell>
          <cell r="I206">
            <v>40299</v>
          </cell>
        </row>
        <row r="207">
          <cell r="A207" t="str">
            <v>LIU DIANJU</v>
          </cell>
          <cell r="B207" t="str">
            <v>0 73375037</v>
          </cell>
          <cell r="C207">
            <v>39945</v>
          </cell>
          <cell r="D207" t="str">
            <v>WP LIVE</v>
          </cell>
          <cell r="E207">
            <v>41399</v>
          </cell>
          <cell r="F207" t="str">
            <v>TIER 1</v>
          </cell>
          <cell r="G207" t="str">
            <v>SKILLED</v>
          </cell>
          <cell r="H207">
            <v>180</v>
          </cell>
          <cell r="I207">
            <v>40087</v>
          </cell>
        </row>
        <row r="208">
          <cell r="A208" t="str">
            <v>LIU JUNXIANG</v>
          </cell>
          <cell r="B208" t="str">
            <v>0 72807960</v>
          </cell>
          <cell r="C208">
            <v>39665</v>
          </cell>
          <cell r="D208" t="str">
            <v>WP LIVE</v>
          </cell>
          <cell r="E208">
            <v>41125</v>
          </cell>
          <cell r="F208" t="str">
            <v>TIER 1</v>
          </cell>
          <cell r="G208" t="str">
            <v>SKILLED</v>
          </cell>
          <cell r="H208">
            <v>180</v>
          </cell>
          <cell r="I208">
            <v>39665</v>
          </cell>
        </row>
        <row r="209">
          <cell r="A209" t="str">
            <v>LIU QINGHUA</v>
          </cell>
          <cell r="B209" t="str">
            <v>0 72352971</v>
          </cell>
          <cell r="C209">
            <v>39534</v>
          </cell>
          <cell r="D209" t="str">
            <v>WP LIVE</v>
          </cell>
          <cell r="E209">
            <v>40997</v>
          </cell>
          <cell r="F209" t="str">
            <v>TIER 1</v>
          </cell>
          <cell r="G209" t="str">
            <v>SKILLED</v>
          </cell>
          <cell r="H209">
            <v>180</v>
          </cell>
          <cell r="I209">
            <v>40269</v>
          </cell>
        </row>
        <row r="210">
          <cell r="A210" t="str">
            <v>LIU QINGHUA</v>
          </cell>
          <cell r="B210" t="str">
            <v>0 72455134</v>
          </cell>
          <cell r="C210">
            <v>39561</v>
          </cell>
          <cell r="D210" t="str">
            <v>WP LIVE</v>
          </cell>
          <cell r="E210">
            <v>41003</v>
          </cell>
          <cell r="F210" t="str">
            <v>TIER 1</v>
          </cell>
          <cell r="G210" t="str">
            <v>SKILLED</v>
          </cell>
          <cell r="H210">
            <v>180</v>
          </cell>
          <cell r="I210">
            <v>40299</v>
          </cell>
        </row>
        <row r="211">
          <cell r="A211" t="str">
            <v>LIU YANBING</v>
          </cell>
          <cell r="B211" t="str">
            <v>0 73126118</v>
          </cell>
          <cell r="C211">
            <v>39794</v>
          </cell>
          <cell r="D211" t="str">
            <v>WP LIVE</v>
          </cell>
          <cell r="E211">
            <v>41244</v>
          </cell>
          <cell r="F211" t="str">
            <v>TIER 1</v>
          </cell>
          <cell r="G211" t="str">
            <v>SKILLED</v>
          </cell>
          <cell r="H211">
            <v>180</v>
          </cell>
          <cell r="I211">
            <v>39814</v>
          </cell>
        </row>
        <row r="212">
          <cell r="A212" t="str">
            <v>LIU YANHUA</v>
          </cell>
          <cell r="B212" t="str">
            <v>0 73135222</v>
          </cell>
          <cell r="C212">
            <v>39918</v>
          </cell>
          <cell r="D212" t="str">
            <v>WP LIVE</v>
          </cell>
          <cell r="E212">
            <v>41014</v>
          </cell>
          <cell r="F212" t="str">
            <v>TIER 1</v>
          </cell>
          <cell r="G212" t="str">
            <v>SKILLED</v>
          </cell>
          <cell r="H212">
            <v>180</v>
          </cell>
          <cell r="I212">
            <v>40725</v>
          </cell>
        </row>
        <row r="213">
          <cell r="A213" t="str">
            <v>LIU YUQING</v>
          </cell>
          <cell r="B213" t="str">
            <v>0 72255453</v>
          </cell>
          <cell r="C213">
            <v>39501</v>
          </cell>
          <cell r="D213" t="str">
            <v>WP LIVE</v>
          </cell>
          <cell r="E213">
            <v>40962</v>
          </cell>
          <cell r="F213" t="str">
            <v>TIER 1</v>
          </cell>
          <cell r="G213" t="str">
            <v>SKILLED</v>
          </cell>
          <cell r="H213">
            <v>180</v>
          </cell>
          <cell r="I213">
            <v>39569</v>
          </cell>
        </row>
        <row r="214">
          <cell r="A214" t="str">
            <v>LOGANATHAN A/L RAMADAS</v>
          </cell>
          <cell r="B214" t="str">
            <v>4 03728519</v>
          </cell>
          <cell r="C214">
            <v>40725</v>
          </cell>
          <cell r="D214" t="str">
            <v>WP APPROVED</v>
          </cell>
          <cell r="F214" t="str">
            <v>TIER 1</v>
          </cell>
          <cell r="G214" t="str">
            <v>UNSKILLED</v>
          </cell>
          <cell r="H214">
            <v>280</v>
          </cell>
          <cell r="I214">
            <v>40725</v>
          </cell>
        </row>
        <row r="215">
          <cell r="A215" t="str">
            <v>LOKE ZHONG SAM</v>
          </cell>
          <cell r="B215" t="str">
            <v>4 03288411</v>
          </cell>
          <cell r="C215">
            <v>40724</v>
          </cell>
          <cell r="D215" t="str">
            <v>WP APPROVED</v>
          </cell>
          <cell r="F215" t="str">
            <v>TIER 1</v>
          </cell>
          <cell r="G215" t="str">
            <v>SKILLED</v>
          </cell>
          <cell r="H215">
            <v>180</v>
          </cell>
          <cell r="I215">
            <v>40725</v>
          </cell>
        </row>
        <row r="216">
          <cell r="A216" t="str">
            <v>LOW SI LING</v>
          </cell>
          <cell r="B216" t="str">
            <v>4 03338516</v>
          </cell>
          <cell r="C216">
            <v>40253</v>
          </cell>
          <cell r="D216" t="str">
            <v>WP LIVE</v>
          </cell>
          <cell r="E216">
            <v>40990</v>
          </cell>
          <cell r="F216" t="str">
            <v>TIER 1</v>
          </cell>
          <cell r="G216" t="str">
            <v>SKILLED</v>
          </cell>
          <cell r="H216">
            <v>180</v>
          </cell>
          <cell r="I216">
            <v>40253</v>
          </cell>
        </row>
        <row r="217">
          <cell r="A217" t="str">
            <v>LU FENGHONG</v>
          </cell>
          <cell r="B217" t="str">
            <v>0 72973356</v>
          </cell>
          <cell r="C217">
            <v>39918</v>
          </cell>
          <cell r="D217" t="str">
            <v>WP LIVE</v>
          </cell>
          <cell r="E217">
            <v>41014</v>
          </cell>
          <cell r="F217" t="str">
            <v>TIER 1</v>
          </cell>
          <cell r="G217" t="str">
            <v>SKILLED</v>
          </cell>
          <cell r="H217">
            <v>180</v>
          </cell>
          <cell r="I217">
            <v>39918</v>
          </cell>
        </row>
        <row r="218">
          <cell r="A218" t="str">
            <v>LU JI PING</v>
          </cell>
          <cell r="B218" t="str">
            <v>0 72207254</v>
          </cell>
          <cell r="C218">
            <v>39476</v>
          </cell>
          <cell r="D218" t="str">
            <v>WP LIVE</v>
          </cell>
          <cell r="E218">
            <v>40798</v>
          </cell>
          <cell r="F218" t="str">
            <v>TIER 1</v>
          </cell>
          <cell r="G218" t="str">
            <v>SKILLED</v>
          </cell>
          <cell r="H218">
            <v>180</v>
          </cell>
          <cell r="I218">
            <v>39539</v>
          </cell>
        </row>
        <row r="219">
          <cell r="A219" t="str">
            <v>LU YAN FENG</v>
          </cell>
          <cell r="B219" t="str">
            <v>0 57849673</v>
          </cell>
          <cell r="C219">
            <v>39328</v>
          </cell>
          <cell r="D219" t="str">
            <v>WP LIVE</v>
          </cell>
          <cell r="E219">
            <v>40790</v>
          </cell>
          <cell r="F219" t="str">
            <v>TIER 1</v>
          </cell>
          <cell r="G219" t="str">
            <v>SKILLED</v>
          </cell>
          <cell r="H219">
            <v>180</v>
          </cell>
          <cell r="I219">
            <v>39356</v>
          </cell>
        </row>
        <row r="220">
          <cell r="A220" t="str">
            <v>LUA YEE NI</v>
          </cell>
          <cell r="B220" t="str">
            <v>4 0286463-</v>
          </cell>
          <cell r="C220">
            <v>40442</v>
          </cell>
          <cell r="D220" t="str">
            <v>WP LIVE</v>
          </cell>
          <cell r="E220">
            <v>41179</v>
          </cell>
          <cell r="F220" t="str">
            <v>TIER 1</v>
          </cell>
          <cell r="G220" t="str">
            <v>SKILLED</v>
          </cell>
          <cell r="H220">
            <v>180</v>
          </cell>
          <cell r="I220">
            <v>40442</v>
          </cell>
        </row>
        <row r="221">
          <cell r="A221" t="str">
            <v>M MAGESWARI A/P AMASI @ MARIMUTHU</v>
          </cell>
          <cell r="B221" t="str">
            <v>4 01362177</v>
          </cell>
          <cell r="C221">
            <v>40392</v>
          </cell>
          <cell r="D221" t="str">
            <v>WP LIVE</v>
          </cell>
          <cell r="E221">
            <v>41137</v>
          </cell>
          <cell r="F221" t="str">
            <v>TIER 1</v>
          </cell>
          <cell r="G221" t="str">
            <v>SKILLED</v>
          </cell>
          <cell r="H221">
            <v>180</v>
          </cell>
          <cell r="I221">
            <v>40392</v>
          </cell>
        </row>
        <row r="222">
          <cell r="A222" t="str">
            <v>M SIVAGAME A/P K MOOKAM</v>
          </cell>
          <cell r="B222" t="str">
            <v>5 11513839</v>
          </cell>
          <cell r="C222">
            <v>39608</v>
          </cell>
          <cell r="D222" t="str">
            <v>WP LIVE</v>
          </cell>
          <cell r="E222">
            <v>41083</v>
          </cell>
          <cell r="F222" t="str">
            <v>TIER 1</v>
          </cell>
          <cell r="G222" t="str">
            <v>SKILLED</v>
          </cell>
          <cell r="H222">
            <v>180</v>
          </cell>
          <cell r="I222">
            <v>40360</v>
          </cell>
        </row>
        <row r="223">
          <cell r="A223" t="str">
            <v>MA HONGMEI</v>
          </cell>
          <cell r="B223" t="str">
            <v>0 72239059</v>
          </cell>
          <cell r="C223">
            <v>39496</v>
          </cell>
          <cell r="D223" t="str">
            <v>WP LIVE</v>
          </cell>
          <cell r="E223">
            <v>40956</v>
          </cell>
          <cell r="F223" t="str">
            <v>TIER 1</v>
          </cell>
          <cell r="G223" t="str">
            <v>SKILLED</v>
          </cell>
          <cell r="H223">
            <v>180</v>
          </cell>
          <cell r="I223">
            <v>39569</v>
          </cell>
        </row>
        <row r="224">
          <cell r="A224" t="str">
            <v>MA NING</v>
          </cell>
          <cell r="B224" t="str">
            <v>0 72628306</v>
          </cell>
          <cell r="C224">
            <v>39605</v>
          </cell>
          <cell r="D224" t="str">
            <v>WP LIVE</v>
          </cell>
          <cell r="E224">
            <v>41067</v>
          </cell>
          <cell r="F224" t="str">
            <v>TIER 1</v>
          </cell>
          <cell r="G224" t="str">
            <v>SKILLED</v>
          </cell>
          <cell r="H224">
            <v>180</v>
          </cell>
          <cell r="I224">
            <v>40725</v>
          </cell>
        </row>
        <row r="225">
          <cell r="A225" t="str">
            <v>MA WENJIA</v>
          </cell>
          <cell r="B225" t="str">
            <v>0 72914880</v>
          </cell>
          <cell r="C225">
            <v>39707</v>
          </cell>
          <cell r="D225" t="str">
            <v>WP LIVE</v>
          </cell>
          <cell r="E225">
            <v>41167</v>
          </cell>
          <cell r="F225" t="str">
            <v>TIER 1</v>
          </cell>
          <cell r="G225" t="str">
            <v>SKILLED</v>
          </cell>
          <cell r="H225">
            <v>180</v>
          </cell>
          <cell r="I225">
            <v>40725</v>
          </cell>
        </row>
        <row r="226">
          <cell r="A226" t="str">
            <v>MAGESVARAN A/L RACHIMUTU</v>
          </cell>
          <cell r="B226" t="str">
            <v>4 0136238-</v>
          </cell>
          <cell r="C226">
            <v>37587</v>
          </cell>
          <cell r="D226" t="str">
            <v>WP LIVE</v>
          </cell>
          <cell r="E226">
            <v>41161</v>
          </cell>
          <cell r="F226" t="str">
            <v>TIER 1</v>
          </cell>
          <cell r="G226" t="str">
            <v>UNSKILLED</v>
          </cell>
          <cell r="H226">
            <v>280</v>
          </cell>
          <cell r="I226">
            <v>37587</v>
          </cell>
        </row>
        <row r="227">
          <cell r="A227" t="str">
            <v>MAGESWARI A/P MUNIANDY</v>
          </cell>
          <cell r="B227" t="str">
            <v>4 03698725</v>
          </cell>
          <cell r="C227">
            <v>40726</v>
          </cell>
          <cell r="D227" t="str">
            <v>WP APPROVED</v>
          </cell>
          <cell r="F227" t="str">
            <v>TIER 1</v>
          </cell>
          <cell r="G227" t="str">
            <v>UNSKILLED</v>
          </cell>
          <cell r="H227">
            <v>280</v>
          </cell>
          <cell r="I227">
            <v>40726</v>
          </cell>
        </row>
        <row r="228">
          <cell r="A228" t="str">
            <v>MAGESWARY A/P NARAJEN</v>
          </cell>
          <cell r="B228" t="str">
            <v>4 00293287</v>
          </cell>
          <cell r="C228">
            <v>40640</v>
          </cell>
          <cell r="D228" t="str">
            <v>WP LIVE</v>
          </cell>
          <cell r="E228">
            <v>41391</v>
          </cell>
          <cell r="F228" t="str">
            <v>TIER 1</v>
          </cell>
          <cell r="G228" t="str">
            <v>SKILLED</v>
          </cell>
          <cell r="H228">
            <v>180</v>
          </cell>
          <cell r="I228">
            <v>40640</v>
          </cell>
        </row>
        <row r="229">
          <cell r="A229" t="str">
            <v>MAHALETCHUMI A/P NADESON</v>
          </cell>
          <cell r="B229" t="str">
            <v>5 17249661</v>
          </cell>
          <cell r="C229">
            <v>36258</v>
          </cell>
          <cell r="D229" t="str">
            <v>WP LIVE</v>
          </cell>
          <cell r="E229">
            <v>41311</v>
          </cell>
          <cell r="F229" t="str">
            <v>TIER 1</v>
          </cell>
          <cell r="G229" t="str">
            <v>UNSKILLED</v>
          </cell>
          <cell r="H229">
            <v>280</v>
          </cell>
          <cell r="I229">
            <v>36258</v>
          </cell>
        </row>
        <row r="230">
          <cell r="A230" t="str">
            <v>MAHESWARE A/P SIVANANDY</v>
          </cell>
          <cell r="B230" t="str">
            <v>5 08390882</v>
          </cell>
          <cell r="C230">
            <v>39387</v>
          </cell>
          <cell r="D230" t="str">
            <v>WP LIVE</v>
          </cell>
          <cell r="E230">
            <v>40862</v>
          </cell>
          <cell r="F230" t="str">
            <v>TIER 1</v>
          </cell>
          <cell r="G230" t="str">
            <v>SKILLED</v>
          </cell>
          <cell r="H230">
            <v>180</v>
          </cell>
          <cell r="I230">
            <v>39387</v>
          </cell>
        </row>
        <row r="231">
          <cell r="A231" t="str">
            <v>MAIMON A/ P MAIDEN</v>
          </cell>
          <cell r="B231" t="str">
            <v>3 72326751</v>
          </cell>
          <cell r="C231">
            <v>36228</v>
          </cell>
          <cell r="D231" t="str">
            <v>WP LIVE</v>
          </cell>
          <cell r="E231">
            <v>41181</v>
          </cell>
          <cell r="F231" t="str">
            <v>TIER 1</v>
          </cell>
          <cell r="G231" t="str">
            <v>UNSKILLED</v>
          </cell>
          <cell r="H231">
            <v>280</v>
          </cell>
          <cell r="I231">
            <v>36228</v>
          </cell>
        </row>
        <row r="232">
          <cell r="A232" t="str">
            <v>MALAH A/P VENGADESAN</v>
          </cell>
          <cell r="B232" t="str">
            <v>4 0237487-</v>
          </cell>
          <cell r="C232">
            <v>40212</v>
          </cell>
          <cell r="D232" t="str">
            <v>WP LIVE</v>
          </cell>
          <cell r="E232">
            <v>40956</v>
          </cell>
          <cell r="F232" t="str">
            <v>TIER 1</v>
          </cell>
          <cell r="G232" t="str">
            <v>SKILLED</v>
          </cell>
          <cell r="H232">
            <v>180</v>
          </cell>
          <cell r="I232">
            <v>40212</v>
          </cell>
        </row>
        <row r="233">
          <cell r="A233" t="str">
            <v>MALANI A/P GOPAL KRISHNAN</v>
          </cell>
          <cell r="B233" t="str">
            <v>4 03636924</v>
          </cell>
          <cell r="C233">
            <v>40554</v>
          </cell>
          <cell r="D233" t="str">
            <v>WP LIVE</v>
          </cell>
          <cell r="E233">
            <v>41293</v>
          </cell>
          <cell r="F233" t="str">
            <v>TIER 1</v>
          </cell>
          <cell r="G233" t="str">
            <v>SKILLED</v>
          </cell>
          <cell r="H233">
            <v>180</v>
          </cell>
          <cell r="I233">
            <v>40554</v>
          </cell>
        </row>
        <row r="234">
          <cell r="A234" t="str">
            <v>MALEGA A/P ANNAMALAI</v>
          </cell>
          <cell r="B234" t="str">
            <v>5 0374368-</v>
          </cell>
          <cell r="C234">
            <v>36269</v>
          </cell>
          <cell r="D234" t="str">
            <v>WP LIVE</v>
          </cell>
          <cell r="E234">
            <v>41292</v>
          </cell>
          <cell r="F234" t="str">
            <v>TIER 1</v>
          </cell>
          <cell r="G234" t="str">
            <v>UNSKILLED</v>
          </cell>
          <cell r="H234">
            <v>280</v>
          </cell>
          <cell r="I234">
            <v>36269</v>
          </cell>
        </row>
        <row r="235">
          <cell r="A235" t="str">
            <v>MANGALESWARI A/P SUBRAMANIAM</v>
          </cell>
          <cell r="B235" t="str">
            <v>4 02347066</v>
          </cell>
          <cell r="C235">
            <v>40486</v>
          </cell>
          <cell r="D235" t="str">
            <v>WP LIVE</v>
          </cell>
          <cell r="E235">
            <v>40792</v>
          </cell>
          <cell r="F235" t="str">
            <v>TIER 1</v>
          </cell>
          <cell r="G235" t="str">
            <v>SKILLED</v>
          </cell>
          <cell r="H235">
            <v>180</v>
          </cell>
          <cell r="I235">
            <v>40486</v>
          </cell>
        </row>
        <row r="236">
          <cell r="A236" t="str">
            <v>MANICKAM A/L KALIAPPAN</v>
          </cell>
          <cell r="B236" t="str">
            <v>3 84721168</v>
          </cell>
          <cell r="C236">
            <v>36269</v>
          </cell>
          <cell r="D236" t="str">
            <v>WP LIVE</v>
          </cell>
          <cell r="E236">
            <v>41276</v>
          </cell>
          <cell r="F236" t="str">
            <v>TIER 1</v>
          </cell>
          <cell r="G236" t="str">
            <v>UNSKILLED</v>
          </cell>
          <cell r="H236">
            <v>280</v>
          </cell>
          <cell r="I236">
            <v>36269</v>
          </cell>
        </row>
        <row r="237">
          <cell r="A237" t="str">
            <v>MANIMEGALAI A/P PONNUSAMY</v>
          </cell>
          <cell r="B237" t="str">
            <v>4 02152648</v>
          </cell>
          <cell r="C237">
            <v>40501</v>
          </cell>
          <cell r="D237" t="str">
            <v>WP LIVE</v>
          </cell>
          <cell r="E237">
            <v>41142</v>
          </cell>
          <cell r="F237" t="str">
            <v>TIER 1</v>
          </cell>
          <cell r="G237" t="str">
            <v>SKILLED</v>
          </cell>
          <cell r="H237">
            <v>180</v>
          </cell>
          <cell r="I237">
            <v>40725</v>
          </cell>
        </row>
        <row r="238">
          <cell r="A238" t="str">
            <v>MANOORGARAN A/L PERUMAL</v>
          </cell>
          <cell r="B238" t="str">
            <v>3 82764080</v>
          </cell>
          <cell r="C238">
            <v>40605</v>
          </cell>
          <cell r="D238" t="str">
            <v>WP LIVE</v>
          </cell>
          <cell r="E238">
            <v>41239</v>
          </cell>
          <cell r="F238" t="str">
            <v>TIER 1</v>
          </cell>
          <cell r="G238" t="str">
            <v>SKILLED</v>
          </cell>
          <cell r="H238">
            <v>180</v>
          </cell>
          <cell r="I238">
            <v>40725</v>
          </cell>
        </row>
        <row r="239">
          <cell r="A239" t="str">
            <v>MARAN A/L BALAKRISHNAN</v>
          </cell>
          <cell r="B239" t="str">
            <v>4 01324402</v>
          </cell>
          <cell r="C239">
            <v>40466</v>
          </cell>
          <cell r="D239" t="str">
            <v>WP LIVE</v>
          </cell>
          <cell r="E239">
            <v>41124</v>
          </cell>
          <cell r="F239" t="str">
            <v>TIER 1</v>
          </cell>
          <cell r="G239" t="str">
            <v>SKILLED</v>
          </cell>
          <cell r="H239">
            <v>180</v>
          </cell>
          <cell r="I239">
            <v>40725</v>
          </cell>
        </row>
        <row r="240">
          <cell r="A240" t="str">
            <v>MAREH BINTI SAID</v>
          </cell>
          <cell r="B240" t="str">
            <v>3 56319184</v>
          </cell>
          <cell r="C240">
            <v>40322</v>
          </cell>
          <cell r="D240" t="str">
            <v>WP LIVE</v>
          </cell>
          <cell r="E240">
            <v>41062</v>
          </cell>
          <cell r="F240" t="str">
            <v>TIER 1</v>
          </cell>
          <cell r="G240" t="str">
            <v>SKILLED</v>
          </cell>
          <cell r="H240">
            <v>180</v>
          </cell>
          <cell r="I240">
            <v>40322</v>
          </cell>
        </row>
        <row r="241">
          <cell r="A241" t="str">
            <v>MARIMAH A/P R ARUNAKARI</v>
          </cell>
          <cell r="B241" t="str">
            <v>3 63070876</v>
          </cell>
          <cell r="C241">
            <v>40427</v>
          </cell>
          <cell r="D241" t="str">
            <v>WP LIVE</v>
          </cell>
          <cell r="E241">
            <v>41180</v>
          </cell>
          <cell r="F241" t="str">
            <v>TIER 1</v>
          </cell>
          <cell r="G241" t="str">
            <v>SKILLED</v>
          </cell>
          <cell r="H241">
            <v>180</v>
          </cell>
          <cell r="I241">
            <v>40427</v>
          </cell>
        </row>
        <row r="242">
          <cell r="A242" t="str">
            <v>MARIYAMMA A/P GANAI SANNACY</v>
          </cell>
          <cell r="B242" t="str">
            <v>3 62938759</v>
          </cell>
          <cell r="C242">
            <v>37649</v>
          </cell>
          <cell r="D242" t="str">
            <v>WP LIVE</v>
          </cell>
          <cell r="E242">
            <v>41299</v>
          </cell>
          <cell r="F242" t="str">
            <v>TIER 1</v>
          </cell>
          <cell r="G242" t="str">
            <v>UNSKILLED</v>
          </cell>
          <cell r="H242">
            <v>280</v>
          </cell>
          <cell r="I242">
            <v>37649</v>
          </cell>
        </row>
        <row r="243">
          <cell r="A243" t="str">
            <v>MARIYAMMAH A/P KUPPAN</v>
          </cell>
          <cell r="B243" t="str">
            <v>4 01450319</v>
          </cell>
          <cell r="C243">
            <v>37753</v>
          </cell>
          <cell r="D243" t="str">
            <v>WP LIVE</v>
          </cell>
          <cell r="E243">
            <v>41004</v>
          </cell>
          <cell r="F243" t="str">
            <v>TIER 1</v>
          </cell>
          <cell r="G243" t="str">
            <v>UNSKILLED</v>
          </cell>
          <cell r="H243">
            <v>280</v>
          </cell>
          <cell r="I243">
            <v>37753</v>
          </cell>
        </row>
        <row r="244">
          <cell r="A244" t="str">
            <v>MARKSUIS TAIMIN</v>
          </cell>
          <cell r="B244" t="str">
            <v>4 01813616</v>
          </cell>
          <cell r="C244">
            <v>38412</v>
          </cell>
          <cell r="D244" t="str">
            <v>WP LIVE</v>
          </cell>
          <cell r="E244">
            <v>40854</v>
          </cell>
          <cell r="F244" t="str">
            <v>TIER 1</v>
          </cell>
          <cell r="G244" t="str">
            <v>UNSKILLED</v>
          </cell>
          <cell r="H244">
            <v>280</v>
          </cell>
          <cell r="I244">
            <v>38412</v>
          </cell>
        </row>
        <row r="245">
          <cell r="A245" t="str">
            <v>MARY A/P M KRISHNAN</v>
          </cell>
          <cell r="B245" t="str">
            <v>3 82011104</v>
          </cell>
          <cell r="C245">
            <v>37125</v>
          </cell>
          <cell r="D245" t="str">
            <v>WP LIVE</v>
          </cell>
          <cell r="E245">
            <v>41393</v>
          </cell>
          <cell r="F245" t="str">
            <v>TIER 1</v>
          </cell>
          <cell r="G245" t="str">
            <v>SKILLED</v>
          </cell>
          <cell r="H245">
            <v>180</v>
          </cell>
          <cell r="I245">
            <v>37125</v>
          </cell>
        </row>
        <row r="246">
          <cell r="A246" t="str">
            <v>MARY A/P SIGAMANY</v>
          </cell>
          <cell r="B246" t="str">
            <v>3 68315028</v>
          </cell>
          <cell r="C246">
            <v>36946</v>
          </cell>
          <cell r="D246" t="str">
            <v>WP LIVE</v>
          </cell>
          <cell r="E246">
            <v>41225</v>
          </cell>
          <cell r="F246" t="str">
            <v>TIER 1</v>
          </cell>
          <cell r="G246" t="str">
            <v>SKILLED</v>
          </cell>
          <cell r="H246">
            <v>180</v>
          </cell>
          <cell r="I246">
            <v>36946</v>
          </cell>
        </row>
        <row r="247">
          <cell r="A247" t="str">
            <v>MATHAN A/L ARUMUGAM</v>
          </cell>
          <cell r="B247" t="str">
            <v>4 03008656</v>
          </cell>
          <cell r="C247">
            <v>39714</v>
          </cell>
          <cell r="D247" t="str">
            <v>WP LIVE</v>
          </cell>
          <cell r="E247">
            <v>41195</v>
          </cell>
          <cell r="F247" t="str">
            <v>TIER 1</v>
          </cell>
          <cell r="G247" t="str">
            <v>SKILLED</v>
          </cell>
          <cell r="H247">
            <v>180</v>
          </cell>
          <cell r="I247">
            <v>39714</v>
          </cell>
        </row>
        <row r="248">
          <cell r="A248" t="str">
            <v>MATHIYAMAH A/P NATHAN</v>
          </cell>
          <cell r="B248" t="str">
            <v>5 0040471-</v>
          </cell>
          <cell r="C248">
            <v>37618</v>
          </cell>
          <cell r="D248" t="str">
            <v>WP LIVE</v>
          </cell>
          <cell r="E248">
            <v>41288</v>
          </cell>
          <cell r="F248" t="str">
            <v>TIER 1</v>
          </cell>
          <cell r="G248" t="str">
            <v>UNSKILLED</v>
          </cell>
          <cell r="H248">
            <v>280</v>
          </cell>
          <cell r="I248">
            <v>37618</v>
          </cell>
        </row>
        <row r="249">
          <cell r="A249" t="str">
            <v>MAZLIANA BINTI PARANTIS</v>
          </cell>
          <cell r="B249" t="str">
            <v>4 02099321</v>
          </cell>
          <cell r="C249">
            <v>40646</v>
          </cell>
          <cell r="D249" t="str">
            <v>WP LIVE</v>
          </cell>
          <cell r="E249">
            <v>41284</v>
          </cell>
          <cell r="F249" t="str">
            <v>TIER 1</v>
          </cell>
          <cell r="G249" t="str">
            <v>SKILLED</v>
          </cell>
          <cell r="H249">
            <v>180</v>
          </cell>
          <cell r="I249">
            <v>40725</v>
          </cell>
        </row>
        <row r="250">
          <cell r="A250" t="str">
            <v>MENG GUOHUA</v>
          </cell>
          <cell r="B250" t="str">
            <v>0 72241916</v>
          </cell>
          <cell r="C250">
            <v>39496</v>
          </cell>
          <cell r="D250" t="str">
            <v>WP LIVE</v>
          </cell>
          <cell r="E250">
            <v>40956</v>
          </cell>
          <cell r="F250" t="str">
            <v>TIER 1</v>
          </cell>
          <cell r="G250" t="str">
            <v>SKILLED</v>
          </cell>
          <cell r="H250">
            <v>180</v>
          </cell>
          <cell r="I250">
            <v>39569</v>
          </cell>
        </row>
        <row r="251">
          <cell r="A251" t="str">
            <v>MENG QINGXIA</v>
          </cell>
          <cell r="B251" t="str">
            <v>0 73026423</v>
          </cell>
          <cell r="C251">
            <v>39744</v>
          </cell>
          <cell r="D251" t="str">
            <v>WP LIVE</v>
          </cell>
          <cell r="E251">
            <v>41189</v>
          </cell>
          <cell r="F251" t="str">
            <v>TIER 1</v>
          </cell>
          <cell r="G251" t="str">
            <v>SKILLED</v>
          </cell>
          <cell r="H251">
            <v>180</v>
          </cell>
          <cell r="I251">
            <v>39744</v>
          </cell>
        </row>
        <row r="252">
          <cell r="A252" t="str">
            <v>MOGAN A/L SOLOIAPAN</v>
          </cell>
          <cell r="B252" t="str">
            <v>4 03641316</v>
          </cell>
          <cell r="C252">
            <v>40725</v>
          </cell>
          <cell r="D252" t="str">
            <v>WP APPROVED</v>
          </cell>
          <cell r="F252" t="str">
            <v>TIER 1</v>
          </cell>
          <cell r="G252" t="str">
            <v>UNSKILLED</v>
          </cell>
          <cell r="H252">
            <v>280</v>
          </cell>
          <cell r="I252">
            <v>40725</v>
          </cell>
        </row>
        <row r="253">
          <cell r="A253" t="str">
            <v>MOHAMAD AIZAD BIN A RAZAK</v>
          </cell>
          <cell r="B253" t="str">
            <v>4 03282332</v>
          </cell>
          <cell r="C253">
            <v>40241</v>
          </cell>
          <cell r="D253" t="str">
            <v>WP LIVE</v>
          </cell>
          <cell r="E253">
            <v>40862</v>
          </cell>
          <cell r="F253" t="str">
            <v>TIER 1</v>
          </cell>
          <cell r="G253" t="str">
            <v>SKILLED</v>
          </cell>
          <cell r="H253">
            <v>180</v>
          </cell>
          <cell r="I253">
            <v>40241</v>
          </cell>
        </row>
        <row r="254">
          <cell r="A254" t="str">
            <v>MOHAMAD HAFIZUDDIN BIN ABDUL RAZAK</v>
          </cell>
          <cell r="B254" t="str">
            <v>4 0332275-</v>
          </cell>
          <cell r="C254">
            <v>40241</v>
          </cell>
          <cell r="D254" t="str">
            <v>WP LIVE</v>
          </cell>
          <cell r="E254">
            <v>40888</v>
          </cell>
          <cell r="F254" t="str">
            <v>TIER 1</v>
          </cell>
          <cell r="G254" t="str">
            <v>SKILLED</v>
          </cell>
          <cell r="H254">
            <v>180</v>
          </cell>
          <cell r="I254">
            <v>40241</v>
          </cell>
        </row>
        <row r="255">
          <cell r="A255" t="str">
            <v>MOHAMED ANUAR BIN MOHAMED NOR</v>
          </cell>
          <cell r="B255" t="str">
            <v>4 02307854</v>
          </cell>
          <cell r="C255">
            <v>40687</v>
          </cell>
          <cell r="D255" t="str">
            <v>WP LIVE</v>
          </cell>
          <cell r="E255">
            <v>41164</v>
          </cell>
          <cell r="F255" t="str">
            <v>TIER 1</v>
          </cell>
          <cell r="G255" t="str">
            <v>SKILLED</v>
          </cell>
          <cell r="H255">
            <v>180</v>
          </cell>
          <cell r="I255">
            <v>40687</v>
          </cell>
        </row>
        <row r="256">
          <cell r="A256" t="str">
            <v>MOHAMMAD HATTA BIN BAKRI</v>
          </cell>
          <cell r="B256" t="str">
            <v>4 03842311</v>
          </cell>
          <cell r="C256">
            <v>40726</v>
          </cell>
          <cell r="D256" t="str">
            <v>WP APPROVED</v>
          </cell>
          <cell r="F256" t="str">
            <v>TIER 1</v>
          </cell>
          <cell r="G256" t="str">
            <v>UNSKILLED</v>
          </cell>
          <cell r="H256">
            <v>280</v>
          </cell>
          <cell r="I256">
            <v>40726</v>
          </cell>
        </row>
        <row r="257">
          <cell r="A257" t="str">
            <v>MOHAMMAD QURESH ILYAS BIN MOHAMMAD ILYAS J</v>
          </cell>
          <cell r="B257" t="str">
            <v>4 03728330</v>
          </cell>
          <cell r="C257">
            <v>40725</v>
          </cell>
          <cell r="D257" t="str">
            <v>WP APPROVED</v>
          </cell>
          <cell r="F257" t="str">
            <v>TIER 1</v>
          </cell>
          <cell r="G257" t="str">
            <v>UNSKILLED</v>
          </cell>
          <cell r="H257">
            <v>280</v>
          </cell>
          <cell r="I257">
            <v>40725</v>
          </cell>
        </row>
        <row r="258">
          <cell r="A258" t="str">
            <v>MOHD AINI BIN HADZRAN</v>
          </cell>
          <cell r="B258" t="str">
            <v>4 02718501</v>
          </cell>
          <cell r="C258">
            <v>40441</v>
          </cell>
          <cell r="D258" t="str">
            <v>WP LIVE</v>
          </cell>
          <cell r="E258">
            <v>41180</v>
          </cell>
          <cell r="F258" t="str">
            <v>TIER 1</v>
          </cell>
          <cell r="G258" t="str">
            <v>SKILLED</v>
          </cell>
          <cell r="H258">
            <v>180</v>
          </cell>
          <cell r="I258">
            <v>40441</v>
          </cell>
        </row>
        <row r="259">
          <cell r="A259" t="str">
            <v>MOHD BORHAN BIN MAT DIN</v>
          </cell>
          <cell r="B259" t="str">
            <v>4 03838780</v>
          </cell>
          <cell r="C259">
            <v>40723</v>
          </cell>
          <cell r="D259" t="str">
            <v>WP APPROVED</v>
          </cell>
          <cell r="F259" t="str">
            <v>TIER 1</v>
          </cell>
          <cell r="G259" t="str">
            <v>SKILLED</v>
          </cell>
          <cell r="H259">
            <v>180</v>
          </cell>
          <cell r="I259">
            <v>40723</v>
          </cell>
        </row>
        <row r="260">
          <cell r="A260" t="str">
            <v>MOHD FARIS BIN TUKIMIN</v>
          </cell>
          <cell r="B260" t="str">
            <v>4 03823538</v>
          </cell>
          <cell r="C260">
            <v>40710</v>
          </cell>
          <cell r="D260" t="str">
            <v>WP LIVE</v>
          </cell>
          <cell r="E260">
            <v>41452</v>
          </cell>
          <cell r="F260" t="str">
            <v>TIER 1</v>
          </cell>
          <cell r="G260" t="str">
            <v>SKILLED</v>
          </cell>
          <cell r="H260">
            <v>180</v>
          </cell>
          <cell r="I260">
            <v>40725</v>
          </cell>
        </row>
        <row r="261">
          <cell r="A261" t="str">
            <v>MOHD HAIRUL AZLAN BIN ALI</v>
          </cell>
          <cell r="B261" t="str">
            <v>4 03294071</v>
          </cell>
          <cell r="C261">
            <v>40211</v>
          </cell>
          <cell r="D261" t="str">
            <v>WP LIVE</v>
          </cell>
          <cell r="E261">
            <v>40896</v>
          </cell>
          <cell r="F261" t="str">
            <v>TIER 1</v>
          </cell>
          <cell r="G261" t="str">
            <v>SKILLED</v>
          </cell>
          <cell r="H261">
            <v>180</v>
          </cell>
          <cell r="I261">
            <v>40211</v>
          </cell>
        </row>
        <row r="262">
          <cell r="A262" t="str">
            <v>MOHD SAIFULIZAN BIN OTHMAN</v>
          </cell>
          <cell r="B262" t="str">
            <v>4 02691174</v>
          </cell>
          <cell r="C262">
            <v>40633</v>
          </cell>
          <cell r="D262" t="str">
            <v>WP LIVE</v>
          </cell>
          <cell r="E262">
            <v>41175</v>
          </cell>
          <cell r="F262" t="str">
            <v>TIER 1</v>
          </cell>
          <cell r="G262" t="str">
            <v>SKILLED</v>
          </cell>
          <cell r="H262">
            <v>180</v>
          </cell>
          <cell r="I262">
            <v>40725</v>
          </cell>
        </row>
        <row r="263">
          <cell r="A263" t="str">
            <v>MOHD SAIPUDIN BIN MAT DIN</v>
          </cell>
          <cell r="B263" t="str">
            <v>4 02486708</v>
          </cell>
          <cell r="C263">
            <v>39661</v>
          </cell>
          <cell r="D263" t="str">
            <v>WP LIVE</v>
          </cell>
          <cell r="E263">
            <v>40968</v>
          </cell>
          <cell r="F263" t="str">
            <v>TIER 1</v>
          </cell>
          <cell r="G263" t="str">
            <v>SKILLED</v>
          </cell>
          <cell r="H263">
            <v>180</v>
          </cell>
          <cell r="I263">
            <v>39661</v>
          </cell>
        </row>
        <row r="264">
          <cell r="A264" t="str">
            <v>MOHD SHARIFF BIN HAMID</v>
          </cell>
          <cell r="B264" t="str">
            <v>3 59105045</v>
          </cell>
          <cell r="C264">
            <v>38195</v>
          </cell>
          <cell r="D264" t="str">
            <v>WP LIVE</v>
          </cell>
          <cell r="E264">
            <v>40740</v>
          </cell>
          <cell r="F264" t="str">
            <v>TIER 1</v>
          </cell>
          <cell r="G264" t="str">
            <v>UNSKILLED</v>
          </cell>
          <cell r="H264">
            <v>280</v>
          </cell>
          <cell r="I264">
            <v>38195</v>
          </cell>
        </row>
        <row r="265">
          <cell r="A265" t="str">
            <v>MOHD SUHAIMI BIN JAMBARI</v>
          </cell>
          <cell r="B265" t="str">
            <v>5 27868343</v>
          </cell>
          <cell r="C265">
            <v>40532</v>
          </cell>
          <cell r="D265" t="str">
            <v>WP LIVE</v>
          </cell>
          <cell r="E265">
            <v>41273</v>
          </cell>
          <cell r="F265" t="str">
            <v>TIER 1</v>
          </cell>
          <cell r="G265" t="str">
            <v>SKILLED</v>
          </cell>
          <cell r="H265">
            <v>180</v>
          </cell>
          <cell r="I265">
            <v>40532</v>
          </cell>
        </row>
        <row r="266">
          <cell r="A266" t="str">
            <v>MOIRI BINTI SUMAYAU</v>
          </cell>
          <cell r="B266" t="str">
            <v>6 06152361</v>
          </cell>
          <cell r="C266">
            <v>38059</v>
          </cell>
          <cell r="D266" t="str">
            <v>WP LIVE</v>
          </cell>
          <cell r="E266">
            <v>41026</v>
          </cell>
          <cell r="F266" t="str">
            <v>TIER 1</v>
          </cell>
          <cell r="G266" t="str">
            <v>UNSKILLED</v>
          </cell>
          <cell r="H266">
            <v>280</v>
          </cell>
          <cell r="I266">
            <v>38059</v>
          </cell>
        </row>
        <row r="267">
          <cell r="A267" t="str">
            <v>MONA BIBI BINTI MOHD SHAFI</v>
          </cell>
          <cell r="B267" t="str">
            <v>4 0366765-</v>
          </cell>
          <cell r="C267">
            <v>40596</v>
          </cell>
          <cell r="D267" t="str">
            <v>WP LIVE</v>
          </cell>
          <cell r="E267">
            <v>41254</v>
          </cell>
          <cell r="F267" t="str">
            <v>TIER 1</v>
          </cell>
          <cell r="G267" t="str">
            <v>SKILLED</v>
          </cell>
          <cell r="H267">
            <v>180</v>
          </cell>
          <cell r="I267">
            <v>40725</v>
          </cell>
        </row>
        <row r="268">
          <cell r="A268" t="str">
            <v>MOTHNY A/P VERASAMY</v>
          </cell>
          <cell r="B268" t="str">
            <v>3 63311954</v>
          </cell>
          <cell r="C268">
            <v>36594</v>
          </cell>
          <cell r="D268" t="str">
            <v>WP LIVE</v>
          </cell>
          <cell r="E268">
            <v>41295</v>
          </cell>
          <cell r="F268" t="str">
            <v>TIER 1</v>
          </cell>
          <cell r="G268" t="str">
            <v>UNSKILLED</v>
          </cell>
          <cell r="H268">
            <v>280</v>
          </cell>
          <cell r="I268">
            <v>36594</v>
          </cell>
        </row>
        <row r="269">
          <cell r="A269" t="str">
            <v>MU YONGLIANG</v>
          </cell>
          <cell r="B269" t="str">
            <v>0 72914740</v>
          </cell>
          <cell r="C269">
            <v>39707</v>
          </cell>
          <cell r="D269" t="str">
            <v>WP LIVE</v>
          </cell>
          <cell r="E269">
            <v>41167</v>
          </cell>
          <cell r="F269" t="str">
            <v>TIER 1</v>
          </cell>
          <cell r="G269" t="str">
            <v>SKILLED</v>
          </cell>
          <cell r="H269">
            <v>180</v>
          </cell>
          <cell r="I269">
            <v>40452</v>
          </cell>
        </row>
        <row r="270">
          <cell r="A270" t="str">
            <v>MUHAMBIGA A/P SELVARAJA</v>
          </cell>
          <cell r="B270" t="str">
            <v>4 02441925</v>
          </cell>
          <cell r="C270">
            <v>40106</v>
          </cell>
          <cell r="D270" t="str">
            <v>WP LIVE</v>
          </cell>
          <cell r="E270">
            <v>40851</v>
          </cell>
          <cell r="F270" t="str">
            <v>TIER 1</v>
          </cell>
          <cell r="G270" t="str">
            <v>SKILLED</v>
          </cell>
          <cell r="H270">
            <v>180</v>
          </cell>
          <cell r="I270">
            <v>40106</v>
          </cell>
        </row>
        <row r="271">
          <cell r="A271" t="str">
            <v>MUHAMMAD AFIF BIN AHMAD FAUZI</v>
          </cell>
          <cell r="B271" t="str">
            <v>4 03282308</v>
          </cell>
          <cell r="C271">
            <v>40457</v>
          </cell>
          <cell r="D271" t="str">
            <v>WP LIVE</v>
          </cell>
          <cell r="E271">
            <v>40862</v>
          </cell>
          <cell r="F271" t="str">
            <v>TIER 1</v>
          </cell>
          <cell r="G271" t="str">
            <v>SKILLED</v>
          </cell>
          <cell r="H271">
            <v>180</v>
          </cell>
          <cell r="I271">
            <v>40725</v>
          </cell>
        </row>
        <row r="272">
          <cell r="A272" t="str">
            <v>MUHAMMAD MUBARAK BIN IDRIS</v>
          </cell>
          <cell r="B272" t="str">
            <v>4 03438871</v>
          </cell>
          <cell r="C272">
            <v>40324</v>
          </cell>
          <cell r="D272" t="str">
            <v>WP LIVE</v>
          </cell>
          <cell r="E272">
            <v>41067</v>
          </cell>
          <cell r="F272" t="str">
            <v>TIER 1</v>
          </cell>
          <cell r="G272" t="str">
            <v>SKILLED</v>
          </cell>
          <cell r="H272">
            <v>180</v>
          </cell>
          <cell r="I272">
            <v>40725</v>
          </cell>
        </row>
        <row r="273">
          <cell r="A273" t="str">
            <v>MURNIE BINTI SULAIMAN</v>
          </cell>
          <cell r="B273" t="str">
            <v>4 03501700</v>
          </cell>
          <cell r="C273">
            <v>40385</v>
          </cell>
          <cell r="D273" t="str">
            <v>WP LIVE</v>
          </cell>
          <cell r="E273">
            <v>41131</v>
          </cell>
          <cell r="F273" t="str">
            <v>TIER 1</v>
          </cell>
          <cell r="G273" t="str">
            <v>SKILLED</v>
          </cell>
          <cell r="H273">
            <v>180</v>
          </cell>
          <cell r="I273">
            <v>40385</v>
          </cell>
        </row>
        <row r="274">
          <cell r="A274" t="str">
            <v>MUTHAMAH A/P MARIMUTHU</v>
          </cell>
          <cell r="B274" t="str">
            <v>3 8251405-</v>
          </cell>
          <cell r="C274">
            <v>35920</v>
          </cell>
          <cell r="D274" t="str">
            <v>WP LIVE</v>
          </cell>
          <cell r="E274">
            <v>41032</v>
          </cell>
          <cell r="F274" t="str">
            <v>TIER 1</v>
          </cell>
          <cell r="G274" t="str">
            <v>UNSKILLED</v>
          </cell>
          <cell r="H274">
            <v>280</v>
          </cell>
          <cell r="I274">
            <v>35920</v>
          </cell>
        </row>
        <row r="275">
          <cell r="A275" t="str">
            <v>NAGAMAH A/P NARAYANAN</v>
          </cell>
          <cell r="B275" t="str">
            <v>3 69203770</v>
          </cell>
          <cell r="C275">
            <v>36602</v>
          </cell>
          <cell r="D275" t="str">
            <v>WP LIVE</v>
          </cell>
          <cell r="E275">
            <v>41319</v>
          </cell>
          <cell r="F275" t="str">
            <v>TIER 1</v>
          </cell>
          <cell r="G275" t="str">
            <v>UNSKILLED</v>
          </cell>
          <cell r="H275">
            <v>280</v>
          </cell>
          <cell r="I275">
            <v>36602</v>
          </cell>
        </row>
        <row r="276">
          <cell r="A276" t="str">
            <v>NAGAVALLI A/P MUNIANDY</v>
          </cell>
          <cell r="B276" t="str">
            <v>3 51126051</v>
          </cell>
          <cell r="C276">
            <v>35170</v>
          </cell>
          <cell r="D276" t="str">
            <v>WP LIVE</v>
          </cell>
          <cell r="E276">
            <v>41328</v>
          </cell>
          <cell r="F276" t="str">
            <v>TIER 1</v>
          </cell>
          <cell r="G276" t="str">
            <v>UNSKILLED</v>
          </cell>
          <cell r="H276">
            <v>280</v>
          </cell>
          <cell r="I276">
            <v>35170</v>
          </cell>
        </row>
        <row r="277">
          <cell r="A277" t="str">
            <v>NAIM BIN SUKOR</v>
          </cell>
          <cell r="B277" t="str">
            <v>6 08993215</v>
          </cell>
          <cell r="C277">
            <v>38471</v>
          </cell>
          <cell r="D277" t="str">
            <v>WP LIVE</v>
          </cell>
          <cell r="E277">
            <v>40874</v>
          </cell>
          <cell r="F277" t="str">
            <v>TIER 1</v>
          </cell>
          <cell r="G277" t="str">
            <v>UNSKILLED</v>
          </cell>
          <cell r="H277">
            <v>280</v>
          </cell>
          <cell r="I277">
            <v>38471</v>
          </cell>
        </row>
        <row r="278">
          <cell r="A278" t="str">
            <v>NAMAMANI A/P SINNAN</v>
          </cell>
          <cell r="B278" t="str">
            <v>3 50670513</v>
          </cell>
          <cell r="C278">
            <v>36297</v>
          </cell>
          <cell r="D278" t="str">
            <v>WP LIVE</v>
          </cell>
          <cell r="E278">
            <v>41287</v>
          </cell>
          <cell r="F278" t="str">
            <v>TIER 1</v>
          </cell>
          <cell r="G278" t="str">
            <v>UNSKILLED</v>
          </cell>
          <cell r="H278">
            <v>280</v>
          </cell>
          <cell r="I278">
            <v>36297</v>
          </cell>
        </row>
        <row r="279">
          <cell r="A279" t="str">
            <v>NAVAMANI A/P PERISAMY</v>
          </cell>
          <cell r="B279" t="str">
            <v>4 03309656</v>
          </cell>
          <cell r="C279">
            <v>40724</v>
          </cell>
          <cell r="D279" t="str">
            <v>WP APPROVED</v>
          </cell>
          <cell r="F279" t="str">
            <v>TIER 1</v>
          </cell>
          <cell r="G279" t="str">
            <v>SKILLED</v>
          </cell>
          <cell r="H279">
            <v>180</v>
          </cell>
          <cell r="I279">
            <v>40725</v>
          </cell>
        </row>
        <row r="280">
          <cell r="A280" t="str">
            <v>NG AH LEK</v>
          </cell>
          <cell r="B280" t="str">
            <v>3 44476810</v>
          </cell>
          <cell r="C280">
            <v>37222</v>
          </cell>
          <cell r="D280" t="str">
            <v>WP LIVE</v>
          </cell>
          <cell r="E280">
            <v>41336</v>
          </cell>
          <cell r="F280" t="str">
            <v>TIER 1</v>
          </cell>
          <cell r="G280" t="str">
            <v>SKILLED</v>
          </cell>
          <cell r="H280">
            <v>180</v>
          </cell>
          <cell r="I280">
            <v>37222</v>
          </cell>
        </row>
        <row r="281">
          <cell r="A281" t="str">
            <v>NG CHAI POO</v>
          </cell>
          <cell r="B281" t="str">
            <v>3 48827707</v>
          </cell>
          <cell r="C281">
            <v>37161</v>
          </cell>
          <cell r="D281" t="str">
            <v>WP LIVE</v>
          </cell>
          <cell r="E281">
            <v>40856</v>
          </cell>
          <cell r="F281" t="str">
            <v>TIER 1</v>
          </cell>
          <cell r="G281" t="str">
            <v>UNSKILLED</v>
          </cell>
          <cell r="H281">
            <v>280</v>
          </cell>
          <cell r="I281">
            <v>37161</v>
          </cell>
        </row>
        <row r="282">
          <cell r="A282" t="str">
            <v>NG HUI TING</v>
          </cell>
          <cell r="B282" t="str">
            <v>4 03007250</v>
          </cell>
          <cell r="C282">
            <v>40662</v>
          </cell>
          <cell r="D282" t="str">
            <v>WP LIVE</v>
          </cell>
          <cell r="E282">
            <v>41201</v>
          </cell>
          <cell r="F282" t="str">
            <v>TIER 1</v>
          </cell>
          <cell r="G282" t="str">
            <v>SKILLED</v>
          </cell>
          <cell r="H282">
            <v>180</v>
          </cell>
          <cell r="I282">
            <v>40725</v>
          </cell>
        </row>
        <row r="283">
          <cell r="A283" t="str">
            <v>NG SUO CHIN</v>
          </cell>
          <cell r="B283" t="str">
            <v>4 0262695-</v>
          </cell>
          <cell r="C283">
            <v>39521</v>
          </cell>
          <cell r="D283" t="str">
            <v>WP LIVE</v>
          </cell>
          <cell r="E283">
            <v>40998</v>
          </cell>
          <cell r="F283" t="str">
            <v>TIER 1</v>
          </cell>
          <cell r="G283" t="str">
            <v>SKILLED</v>
          </cell>
          <cell r="H283">
            <v>180</v>
          </cell>
          <cell r="I283">
            <v>39521</v>
          </cell>
        </row>
        <row r="284">
          <cell r="A284" t="str">
            <v>NI YONG TING</v>
          </cell>
          <cell r="B284" t="str">
            <v>0 72207025</v>
          </cell>
          <cell r="C284">
            <v>39476</v>
          </cell>
          <cell r="D284" t="str">
            <v>WP LIVE</v>
          </cell>
          <cell r="E284">
            <v>40937</v>
          </cell>
          <cell r="F284" t="str">
            <v>TIER 1</v>
          </cell>
          <cell r="G284" t="str">
            <v>SKILLED</v>
          </cell>
          <cell r="H284">
            <v>180</v>
          </cell>
          <cell r="I284">
            <v>39476</v>
          </cell>
        </row>
        <row r="285">
          <cell r="A285" t="str">
            <v>NOORAHIMAH BINTI HASHIM</v>
          </cell>
          <cell r="B285" t="str">
            <v>5 20637222</v>
          </cell>
          <cell r="C285">
            <v>40259</v>
          </cell>
          <cell r="D285" t="str">
            <v>WP LIVE</v>
          </cell>
          <cell r="E285">
            <v>40947</v>
          </cell>
          <cell r="F285" t="str">
            <v>TIER 1</v>
          </cell>
          <cell r="G285" t="str">
            <v>SKILLED</v>
          </cell>
          <cell r="H285">
            <v>180</v>
          </cell>
          <cell r="I285">
            <v>40259</v>
          </cell>
        </row>
        <row r="286">
          <cell r="A286" t="str">
            <v>NOORIZAM BIN SUKARI</v>
          </cell>
          <cell r="B286" t="str">
            <v>5 29225989</v>
          </cell>
          <cell r="C286">
            <v>40725</v>
          </cell>
          <cell r="D286" t="str">
            <v>WP APPROVED</v>
          </cell>
          <cell r="F286" t="str">
            <v>TIER 1</v>
          </cell>
          <cell r="G286" t="str">
            <v>UNSKILLED</v>
          </cell>
          <cell r="H286">
            <v>280</v>
          </cell>
          <cell r="I286">
            <v>40725</v>
          </cell>
        </row>
        <row r="287">
          <cell r="A287" t="str">
            <v>NORAFIDAH BINTI SAIBI</v>
          </cell>
          <cell r="B287" t="str">
            <v>4 01710957</v>
          </cell>
          <cell r="C287">
            <v>40213</v>
          </cell>
          <cell r="D287" t="str">
            <v>WP LIVE</v>
          </cell>
          <cell r="E287">
            <v>40903</v>
          </cell>
          <cell r="F287" t="str">
            <v>TIER 1</v>
          </cell>
          <cell r="G287" t="str">
            <v>SKILLED</v>
          </cell>
          <cell r="H287">
            <v>180</v>
          </cell>
          <cell r="I287">
            <v>40725</v>
          </cell>
        </row>
        <row r="288">
          <cell r="A288" t="str">
            <v>NORSHAHILA BINTI MOHD SHARIF</v>
          </cell>
          <cell r="B288" t="str">
            <v>5 14069247</v>
          </cell>
          <cell r="C288">
            <v>40329</v>
          </cell>
          <cell r="D288" t="str">
            <v>WP LIVE</v>
          </cell>
          <cell r="E288">
            <v>41075</v>
          </cell>
          <cell r="F288" t="str">
            <v>TIER 1</v>
          </cell>
          <cell r="G288" t="str">
            <v>SKILLED</v>
          </cell>
          <cell r="H288">
            <v>180</v>
          </cell>
          <cell r="I288">
            <v>40329</v>
          </cell>
        </row>
        <row r="289">
          <cell r="A289" t="str">
            <v>NORSULIANA BINTI MOHAMED HANAPIAH</v>
          </cell>
          <cell r="B289" t="str">
            <v>4 03657301</v>
          </cell>
          <cell r="C289">
            <v>40588</v>
          </cell>
          <cell r="D289" t="str">
            <v>WP LIVE</v>
          </cell>
          <cell r="E289">
            <v>41233</v>
          </cell>
          <cell r="F289" t="str">
            <v>TIER 1</v>
          </cell>
          <cell r="G289" t="str">
            <v>SKILLED</v>
          </cell>
          <cell r="H289">
            <v>180</v>
          </cell>
          <cell r="I289">
            <v>40588</v>
          </cell>
        </row>
        <row r="290">
          <cell r="A290" t="str">
            <v>NORZILA BINTI HASRUN</v>
          </cell>
          <cell r="B290" t="str">
            <v>4 03807893</v>
          </cell>
          <cell r="C290">
            <v>40697</v>
          </cell>
          <cell r="D290" t="str">
            <v>WP LIVE</v>
          </cell>
          <cell r="E290">
            <v>41446</v>
          </cell>
          <cell r="F290" t="str">
            <v>TIER 1</v>
          </cell>
          <cell r="G290" t="str">
            <v>SKILLED</v>
          </cell>
          <cell r="H290">
            <v>180</v>
          </cell>
          <cell r="I290">
            <v>40697</v>
          </cell>
        </row>
        <row r="291">
          <cell r="A291" t="str">
            <v>NUR RAZILA BINTI ABDUL GHANI</v>
          </cell>
          <cell r="B291" t="str">
            <v>4 03226793</v>
          </cell>
          <cell r="C291">
            <v>40109</v>
          </cell>
          <cell r="D291" t="str">
            <v>WP LIVE</v>
          </cell>
          <cell r="E291">
            <v>40806</v>
          </cell>
          <cell r="F291" t="str">
            <v>TIER 1</v>
          </cell>
          <cell r="G291" t="str">
            <v>SKILLED</v>
          </cell>
          <cell r="H291">
            <v>180</v>
          </cell>
          <cell r="I291">
            <v>40725</v>
          </cell>
        </row>
        <row r="292">
          <cell r="A292" t="str">
            <v>NURHIJJAH BINTI BAHARUDIN</v>
          </cell>
          <cell r="B292" t="str">
            <v>4 02696877</v>
          </cell>
          <cell r="C292">
            <v>39701</v>
          </cell>
          <cell r="D292" t="str">
            <v>WP LIVE</v>
          </cell>
          <cell r="E292">
            <v>41169</v>
          </cell>
          <cell r="F292" t="str">
            <v>TIER 1</v>
          </cell>
          <cell r="G292" t="str">
            <v>SKILLED</v>
          </cell>
          <cell r="H292">
            <v>180</v>
          </cell>
          <cell r="I292">
            <v>39701</v>
          </cell>
        </row>
        <row r="293">
          <cell r="A293" t="str">
            <v>P GUNASEGAR A/L THOEASY PERUMAL</v>
          </cell>
          <cell r="B293" t="str">
            <v>5 15476520</v>
          </cell>
          <cell r="C293">
            <v>39444</v>
          </cell>
          <cell r="D293" t="str">
            <v>WP LIVE</v>
          </cell>
          <cell r="E293">
            <v>41417</v>
          </cell>
          <cell r="F293" t="str">
            <v>TIER 1</v>
          </cell>
          <cell r="G293" t="str">
            <v>SKILLED</v>
          </cell>
          <cell r="H293">
            <v>180</v>
          </cell>
          <cell r="I293">
            <v>39444</v>
          </cell>
        </row>
        <row r="294">
          <cell r="A294" t="str">
            <v>P SIRANGAM A/L PERUMAL</v>
          </cell>
          <cell r="B294" t="str">
            <v>3 83940435</v>
          </cell>
          <cell r="C294">
            <v>35853</v>
          </cell>
          <cell r="D294" t="str">
            <v>WP LIVE</v>
          </cell>
          <cell r="E294">
            <v>41313</v>
          </cell>
          <cell r="F294" t="str">
            <v>TIER 1</v>
          </cell>
          <cell r="G294" t="str">
            <v>UNSKILLED</v>
          </cell>
          <cell r="H294">
            <v>280</v>
          </cell>
          <cell r="I294">
            <v>35853</v>
          </cell>
        </row>
        <row r="295">
          <cell r="A295" t="str">
            <v>PADMAVATHY A/P SUBRAMANIAM</v>
          </cell>
          <cell r="B295" t="str">
            <v>3 7326900-</v>
          </cell>
          <cell r="C295">
            <v>37068</v>
          </cell>
          <cell r="D295" t="str">
            <v>WP LIVE</v>
          </cell>
          <cell r="E295">
            <v>40744</v>
          </cell>
          <cell r="F295" t="str">
            <v>TIER 1</v>
          </cell>
          <cell r="G295" t="str">
            <v>SKILLED</v>
          </cell>
          <cell r="H295">
            <v>180</v>
          </cell>
          <cell r="I295">
            <v>37068</v>
          </cell>
        </row>
        <row r="296">
          <cell r="A296" t="str">
            <v>PAGGIE TEE PEI QI</v>
          </cell>
          <cell r="B296" t="str">
            <v>4 01842810</v>
          </cell>
          <cell r="C296">
            <v>40631</v>
          </cell>
          <cell r="D296" t="str">
            <v>WP LIVE</v>
          </cell>
          <cell r="E296">
            <v>41371</v>
          </cell>
          <cell r="F296" t="str">
            <v>TIER 1</v>
          </cell>
          <cell r="G296" t="str">
            <v>SKILLED</v>
          </cell>
          <cell r="H296">
            <v>180</v>
          </cell>
          <cell r="I296">
            <v>40725</v>
          </cell>
        </row>
        <row r="297">
          <cell r="A297" t="str">
            <v>PAN XIULAN</v>
          </cell>
          <cell r="B297" t="str">
            <v>0 73377129</v>
          </cell>
          <cell r="C297">
            <v>39946</v>
          </cell>
          <cell r="D297" t="str">
            <v>WP LIVE</v>
          </cell>
          <cell r="E297">
            <v>41399</v>
          </cell>
          <cell r="F297" t="str">
            <v>TIER 1</v>
          </cell>
          <cell r="G297" t="str">
            <v>SKILLED</v>
          </cell>
          <cell r="H297">
            <v>180</v>
          </cell>
          <cell r="I297">
            <v>40026</v>
          </cell>
        </row>
        <row r="298">
          <cell r="A298" t="str">
            <v>PANG SHEAU KANG</v>
          </cell>
          <cell r="B298" t="str">
            <v>4 00433879</v>
          </cell>
          <cell r="C298">
            <v>39146</v>
          </cell>
          <cell r="D298" t="str">
            <v>WP LIVE</v>
          </cell>
          <cell r="E298">
            <v>40980</v>
          </cell>
          <cell r="F298" t="str">
            <v>TIER 1</v>
          </cell>
          <cell r="G298" t="str">
            <v>SKILLED</v>
          </cell>
          <cell r="H298">
            <v>180</v>
          </cell>
          <cell r="I298">
            <v>39146</v>
          </cell>
        </row>
        <row r="299">
          <cell r="A299" t="str">
            <v>PARAMAGURU A/L SHUNMUGAM</v>
          </cell>
          <cell r="B299" t="str">
            <v>4 00791791</v>
          </cell>
          <cell r="C299">
            <v>39176</v>
          </cell>
          <cell r="D299" t="str">
            <v>WP LIVE</v>
          </cell>
          <cell r="E299">
            <v>41390</v>
          </cell>
          <cell r="F299" t="str">
            <v>TIER 1</v>
          </cell>
          <cell r="G299" t="str">
            <v>SKILLED</v>
          </cell>
          <cell r="H299">
            <v>180</v>
          </cell>
          <cell r="I299">
            <v>39176</v>
          </cell>
        </row>
        <row r="300">
          <cell r="A300" t="str">
            <v>PARUTTIAMA A/P APPLANAIDOO</v>
          </cell>
          <cell r="B300" t="str">
            <v>5 10345878</v>
          </cell>
          <cell r="C300">
            <v>37204</v>
          </cell>
          <cell r="D300" t="str">
            <v>WP LIVE</v>
          </cell>
          <cell r="E300">
            <v>40746</v>
          </cell>
          <cell r="F300" t="str">
            <v>TIER 1</v>
          </cell>
          <cell r="G300" t="str">
            <v>SKILLED</v>
          </cell>
          <cell r="H300">
            <v>180</v>
          </cell>
          <cell r="I300">
            <v>37204</v>
          </cell>
        </row>
        <row r="301">
          <cell r="A301" t="str">
            <v>PARUVATHY A/P V SINNASAMY</v>
          </cell>
          <cell r="B301" t="str">
            <v>5 09434042</v>
          </cell>
          <cell r="C301">
            <v>40319</v>
          </cell>
          <cell r="D301" t="str">
            <v>WP LIVE</v>
          </cell>
          <cell r="E301">
            <v>41060</v>
          </cell>
          <cell r="F301" t="str">
            <v>TIER 1</v>
          </cell>
          <cell r="G301" t="str">
            <v>SKILLED</v>
          </cell>
          <cell r="H301">
            <v>180</v>
          </cell>
          <cell r="I301">
            <v>40319</v>
          </cell>
        </row>
        <row r="302">
          <cell r="A302" t="str">
            <v>PATHAMAWATHY A/P THANAPPAN</v>
          </cell>
          <cell r="B302" t="str">
            <v>4 01808620</v>
          </cell>
          <cell r="C302">
            <v>40380</v>
          </cell>
          <cell r="D302" t="str">
            <v>WP LIVE</v>
          </cell>
          <cell r="E302">
            <v>40933</v>
          </cell>
          <cell r="F302" t="str">
            <v>TIER 1</v>
          </cell>
          <cell r="G302" t="str">
            <v>SKILLED</v>
          </cell>
          <cell r="H302">
            <v>180</v>
          </cell>
          <cell r="I302">
            <v>40725</v>
          </cell>
        </row>
        <row r="303">
          <cell r="A303" t="str">
            <v>PERASANNA A/P SAYAKUMARAN</v>
          </cell>
          <cell r="B303" t="str">
            <v>4 03676063</v>
          </cell>
          <cell r="C303">
            <v>40602</v>
          </cell>
          <cell r="D303" t="str">
            <v>WP LIVE</v>
          </cell>
          <cell r="E303">
            <v>41298</v>
          </cell>
          <cell r="F303" t="str">
            <v>TIER 1</v>
          </cell>
          <cell r="G303" t="str">
            <v>SKILLED</v>
          </cell>
          <cell r="H303">
            <v>180</v>
          </cell>
          <cell r="I303">
            <v>40602</v>
          </cell>
        </row>
        <row r="304">
          <cell r="A304" t="str">
            <v>PERUMAL A/L S DORAISAMY</v>
          </cell>
          <cell r="B304" t="str">
            <v>3 81485803</v>
          </cell>
          <cell r="C304">
            <v>35131</v>
          </cell>
          <cell r="D304" t="str">
            <v>WP LIVE</v>
          </cell>
          <cell r="E304">
            <v>40831</v>
          </cell>
          <cell r="F304" t="str">
            <v>TIER 1</v>
          </cell>
          <cell r="G304" t="str">
            <v>UNSKILLED</v>
          </cell>
          <cell r="H304">
            <v>280</v>
          </cell>
          <cell r="I304">
            <v>35131</v>
          </cell>
        </row>
        <row r="305">
          <cell r="A305" t="str">
            <v>PILOMINAH A/P IRUTHIANATHAN</v>
          </cell>
          <cell r="B305" t="str">
            <v>4 02990481</v>
          </cell>
          <cell r="C305">
            <v>40666</v>
          </cell>
          <cell r="D305" t="str">
            <v>WP LIVE</v>
          </cell>
          <cell r="E305">
            <v>41340</v>
          </cell>
          <cell r="F305" t="str">
            <v>TIER 1</v>
          </cell>
          <cell r="G305" t="str">
            <v>SKILLED</v>
          </cell>
          <cell r="H305">
            <v>180</v>
          </cell>
          <cell r="I305">
            <v>40666</v>
          </cell>
        </row>
        <row r="306">
          <cell r="A306" t="str">
            <v>PONAMMA A/P A GOVINDARAJU</v>
          </cell>
          <cell r="B306" t="str">
            <v>3 81478874</v>
          </cell>
          <cell r="C306">
            <v>35921</v>
          </cell>
          <cell r="D306" t="str">
            <v>WP LIVE</v>
          </cell>
          <cell r="E306">
            <v>41044</v>
          </cell>
          <cell r="F306" t="str">
            <v>TIER 1</v>
          </cell>
          <cell r="G306" t="str">
            <v>UNSKILLED</v>
          </cell>
          <cell r="H306">
            <v>280</v>
          </cell>
          <cell r="I306">
            <v>35921</v>
          </cell>
        </row>
        <row r="307">
          <cell r="A307" t="str">
            <v>POOBATHY A/P P VEERAPPAN</v>
          </cell>
          <cell r="B307" t="str">
            <v>5 10657330</v>
          </cell>
          <cell r="C307">
            <v>38243</v>
          </cell>
          <cell r="D307" t="str">
            <v>WP LIVE</v>
          </cell>
          <cell r="E307">
            <v>41198</v>
          </cell>
          <cell r="F307" t="str">
            <v>TIER 1</v>
          </cell>
          <cell r="G307" t="str">
            <v>UNSKILLED</v>
          </cell>
          <cell r="H307">
            <v>280</v>
          </cell>
          <cell r="I307">
            <v>38243</v>
          </cell>
        </row>
        <row r="308">
          <cell r="A308" t="str">
            <v>POOMAH A/P CHINNATHAMBY</v>
          </cell>
          <cell r="B308" t="str">
            <v>3 52127485</v>
          </cell>
          <cell r="C308">
            <v>40549</v>
          </cell>
          <cell r="D308" t="str">
            <v>WP LIVE</v>
          </cell>
          <cell r="E308">
            <v>41223</v>
          </cell>
          <cell r="F308" t="str">
            <v>TIER 1</v>
          </cell>
          <cell r="G308" t="str">
            <v>SKILLED</v>
          </cell>
          <cell r="H308">
            <v>180</v>
          </cell>
          <cell r="I308">
            <v>40725</v>
          </cell>
        </row>
        <row r="309">
          <cell r="A309" t="str">
            <v>PRAMESWARI A/P SUBRAMANIAM</v>
          </cell>
          <cell r="B309" t="str">
            <v>4 03744638</v>
          </cell>
          <cell r="C309">
            <v>40675</v>
          </cell>
          <cell r="D309" t="str">
            <v>WP LIVE</v>
          </cell>
          <cell r="E309">
            <v>41350</v>
          </cell>
          <cell r="F309" t="str">
            <v>TIER 1</v>
          </cell>
          <cell r="G309" t="str">
            <v>SKILLED</v>
          </cell>
          <cell r="H309">
            <v>180</v>
          </cell>
          <cell r="I309">
            <v>40675</v>
          </cell>
        </row>
        <row r="310">
          <cell r="A310" t="str">
            <v>PRASATH A/L PALAINDID</v>
          </cell>
          <cell r="B310" t="str">
            <v>4 00690421</v>
          </cell>
          <cell r="C310">
            <v>38043</v>
          </cell>
          <cell r="D310" t="str">
            <v>WP LIVE</v>
          </cell>
          <cell r="E310">
            <v>41298</v>
          </cell>
          <cell r="F310" t="str">
            <v>TIER 1</v>
          </cell>
          <cell r="G310" t="str">
            <v>UNSKILLED</v>
          </cell>
          <cell r="H310">
            <v>280</v>
          </cell>
          <cell r="I310">
            <v>38043</v>
          </cell>
        </row>
        <row r="311">
          <cell r="A311" t="str">
            <v>PU YANCHENG</v>
          </cell>
          <cell r="B311" t="str">
            <v>0 72424557</v>
          </cell>
          <cell r="C311">
            <v>39549</v>
          </cell>
          <cell r="D311" t="str">
            <v>WP LIVE</v>
          </cell>
          <cell r="E311">
            <v>41003</v>
          </cell>
          <cell r="F311" t="str">
            <v>TIER 1</v>
          </cell>
          <cell r="G311" t="str">
            <v>SKILLED</v>
          </cell>
          <cell r="H311">
            <v>180</v>
          </cell>
          <cell r="I311">
            <v>40299</v>
          </cell>
        </row>
        <row r="312">
          <cell r="A312" t="str">
            <v>PUSHPAM A/P SUPPIAH</v>
          </cell>
          <cell r="B312" t="str">
            <v>3 42738524</v>
          </cell>
          <cell r="C312">
            <v>37092</v>
          </cell>
          <cell r="D312" t="str">
            <v>WP LIVE</v>
          </cell>
          <cell r="E312">
            <v>40992</v>
          </cell>
          <cell r="F312" t="str">
            <v>TIER 1</v>
          </cell>
          <cell r="G312" t="str">
            <v>SKILLED</v>
          </cell>
          <cell r="H312">
            <v>180</v>
          </cell>
          <cell r="I312">
            <v>37092</v>
          </cell>
        </row>
        <row r="313">
          <cell r="A313" t="str">
            <v>PUSPA VALLI A/P MOGANARAJA</v>
          </cell>
          <cell r="B313" t="str">
            <v>4 00788960</v>
          </cell>
          <cell r="C313">
            <v>39706</v>
          </cell>
          <cell r="D313" t="str">
            <v>WP LIVE</v>
          </cell>
          <cell r="E313">
            <v>41181</v>
          </cell>
          <cell r="F313" t="str">
            <v>TIER 1</v>
          </cell>
          <cell r="G313" t="str">
            <v>SKILLED</v>
          </cell>
          <cell r="H313">
            <v>180</v>
          </cell>
          <cell r="I313">
            <v>39706</v>
          </cell>
        </row>
        <row r="314">
          <cell r="A314" t="str">
            <v>PUTHIA BHOOMI A/L MUNIANDY</v>
          </cell>
          <cell r="B314" t="str">
            <v>5 32925797</v>
          </cell>
          <cell r="C314">
            <v>36851</v>
          </cell>
          <cell r="D314" t="str">
            <v>WP LIVE</v>
          </cell>
          <cell r="E314">
            <v>41205</v>
          </cell>
          <cell r="F314" t="str">
            <v>TIER 1</v>
          </cell>
          <cell r="G314" t="str">
            <v>SKILLED</v>
          </cell>
          <cell r="H314">
            <v>180</v>
          </cell>
          <cell r="I314">
            <v>36851</v>
          </cell>
        </row>
        <row r="315">
          <cell r="A315" t="str">
            <v>QIN LIYAN</v>
          </cell>
          <cell r="B315" t="str">
            <v>0 72603915</v>
          </cell>
          <cell r="C315">
            <v>39597</v>
          </cell>
          <cell r="D315" t="str">
            <v>WP LIVE</v>
          </cell>
          <cell r="E315">
            <v>41057</v>
          </cell>
          <cell r="F315" t="str">
            <v>TIER 1</v>
          </cell>
          <cell r="G315" t="str">
            <v>SKILLED</v>
          </cell>
          <cell r="H315">
            <v>180</v>
          </cell>
          <cell r="I315">
            <v>40330</v>
          </cell>
        </row>
        <row r="316">
          <cell r="A316" t="str">
            <v>QIU YE QIN</v>
          </cell>
          <cell r="B316" t="str">
            <v>0 72058585</v>
          </cell>
          <cell r="C316">
            <v>39423</v>
          </cell>
          <cell r="D316" t="str">
            <v>WP LIVE</v>
          </cell>
          <cell r="E316">
            <v>41244</v>
          </cell>
          <cell r="F316" t="str">
            <v>TIER 1</v>
          </cell>
          <cell r="G316" t="str">
            <v>SKILLED</v>
          </cell>
          <cell r="H316">
            <v>180</v>
          </cell>
          <cell r="I316">
            <v>39508</v>
          </cell>
        </row>
        <row r="317">
          <cell r="A317" t="str">
            <v>RAJA MD ZAID BIN RAJA MD ZIN</v>
          </cell>
          <cell r="B317" t="str">
            <v>5 06045614</v>
          </cell>
          <cell r="C317">
            <v>40725</v>
          </cell>
          <cell r="D317" t="str">
            <v>WP APPROVED</v>
          </cell>
          <cell r="F317" t="str">
            <v>TIER 1</v>
          </cell>
          <cell r="G317" t="str">
            <v>UNSKILLED</v>
          </cell>
          <cell r="H317">
            <v>280</v>
          </cell>
          <cell r="I317">
            <v>40725</v>
          </cell>
        </row>
        <row r="318">
          <cell r="A318" t="str">
            <v>RAJESVARY A/P VEERASAMY</v>
          </cell>
          <cell r="B318" t="str">
            <v>5 22634719</v>
          </cell>
          <cell r="C318">
            <v>40445</v>
          </cell>
          <cell r="D318" t="str">
            <v>WP LIVE</v>
          </cell>
          <cell r="E318">
            <v>41186</v>
          </cell>
          <cell r="F318" t="str">
            <v>TIER 1</v>
          </cell>
          <cell r="G318" t="str">
            <v>SKILLED</v>
          </cell>
          <cell r="H318">
            <v>180</v>
          </cell>
          <cell r="I318">
            <v>40445</v>
          </cell>
        </row>
        <row r="319">
          <cell r="A319" t="str">
            <v>RAJESWARI A/P SUBRAMANIAM</v>
          </cell>
          <cell r="B319" t="str">
            <v>4 03508136</v>
          </cell>
          <cell r="C319">
            <v>40725</v>
          </cell>
          <cell r="D319" t="str">
            <v>WP APPROVED</v>
          </cell>
          <cell r="F319" t="str">
            <v>TIER 1</v>
          </cell>
          <cell r="G319" t="str">
            <v>UNSKILLED</v>
          </cell>
          <cell r="H319">
            <v>280</v>
          </cell>
          <cell r="I319">
            <v>40725</v>
          </cell>
        </row>
        <row r="320">
          <cell r="A320" t="str">
            <v>RAJISPARY A/P M KANAN</v>
          </cell>
          <cell r="B320" t="str">
            <v>3 71968903</v>
          </cell>
          <cell r="C320">
            <v>38048</v>
          </cell>
          <cell r="D320" t="str">
            <v>WP LIVE</v>
          </cell>
          <cell r="E320">
            <v>40999</v>
          </cell>
          <cell r="F320" t="str">
            <v>TIER 1</v>
          </cell>
          <cell r="G320" t="str">
            <v>UNSKILLED</v>
          </cell>
          <cell r="H320">
            <v>280</v>
          </cell>
          <cell r="I320">
            <v>38048</v>
          </cell>
        </row>
        <row r="321">
          <cell r="A321" t="str">
            <v>RANJINI A/P M RAJAKUMAR</v>
          </cell>
          <cell r="B321" t="str">
            <v>4 03828548</v>
          </cell>
          <cell r="C321">
            <v>40715</v>
          </cell>
          <cell r="D321" t="str">
            <v>WP APPROVED</v>
          </cell>
          <cell r="F321" t="str">
            <v>TIER 1</v>
          </cell>
          <cell r="G321" t="str">
            <v>SKILLED</v>
          </cell>
          <cell r="H321">
            <v>180</v>
          </cell>
          <cell r="I321">
            <v>40725</v>
          </cell>
        </row>
        <row r="322">
          <cell r="A322" t="str">
            <v>RASYIDI BIN SA ARI</v>
          </cell>
          <cell r="B322" t="str">
            <v>4 02030739</v>
          </cell>
          <cell r="C322">
            <v>40393</v>
          </cell>
          <cell r="D322" t="str">
            <v>WP LIVE</v>
          </cell>
          <cell r="E322">
            <v>41093</v>
          </cell>
          <cell r="F322" t="str">
            <v>TIER 1</v>
          </cell>
          <cell r="G322" t="str">
            <v>SKILLED</v>
          </cell>
          <cell r="H322">
            <v>180</v>
          </cell>
          <cell r="I322">
            <v>40725</v>
          </cell>
        </row>
        <row r="323">
          <cell r="A323" t="str">
            <v>RATHA A/P KARUNAKARI @ KARUNAKARAN</v>
          </cell>
          <cell r="B323" t="str">
            <v>4 00926530</v>
          </cell>
          <cell r="C323">
            <v>39591</v>
          </cell>
          <cell r="D323" t="str">
            <v>WP LIVE</v>
          </cell>
          <cell r="E323">
            <v>41064</v>
          </cell>
          <cell r="F323" t="str">
            <v>TIER 1</v>
          </cell>
          <cell r="G323" t="str">
            <v>SKILLED</v>
          </cell>
          <cell r="H323">
            <v>180</v>
          </cell>
          <cell r="I323">
            <v>39591</v>
          </cell>
        </row>
        <row r="324">
          <cell r="A324" t="str">
            <v>RATHIMALAR A/P MURTHY</v>
          </cell>
          <cell r="B324" t="str">
            <v>4 02956143</v>
          </cell>
          <cell r="C324">
            <v>40444</v>
          </cell>
          <cell r="D324" t="str">
            <v>WP LIVE</v>
          </cell>
          <cell r="E324">
            <v>41186</v>
          </cell>
          <cell r="F324" t="str">
            <v>TIER 1</v>
          </cell>
          <cell r="G324" t="str">
            <v>SKILLED</v>
          </cell>
          <cell r="H324">
            <v>180</v>
          </cell>
          <cell r="I324">
            <v>40444</v>
          </cell>
        </row>
        <row r="325">
          <cell r="A325" t="str">
            <v>RAVI A/L MARIAPPAN</v>
          </cell>
          <cell r="B325" t="str">
            <v>4 00739412</v>
          </cell>
          <cell r="C325">
            <v>37840</v>
          </cell>
          <cell r="D325" t="str">
            <v>WP LIVE</v>
          </cell>
          <cell r="E325">
            <v>40780</v>
          </cell>
          <cell r="F325" t="str">
            <v>TIER 1</v>
          </cell>
          <cell r="G325" t="str">
            <v>SKILLED</v>
          </cell>
          <cell r="H325">
            <v>180</v>
          </cell>
          <cell r="I325">
            <v>37840</v>
          </cell>
        </row>
        <row r="326">
          <cell r="A326" t="str">
            <v>RAVI A/L MURGAS</v>
          </cell>
          <cell r="B326" t="str">
            <v>4 00455708</v>
          </cell>
          <cell r="C326">
            <v>40148</v>
          </cell>
          <cell r="D326" t="str">
            <v>WP LIVE</v>
          </cell>
          <cell r="E326">
            <v>40893</v>
          </cell>
          <cell r="F326" t="str">
            <v>TIER 1</v>
          </cell>
          <cell r="G326" t="str">
            <v>SKILLED</v>
          </cell>
          <cell r="H326">
            <v>180</v>
          </cell>
          <cell r="I326">
            <v>40725</v>
          </cell>
        </row>
        <row r="327">
          <cell r="A327" t="str">
            <v>RAVI SHANKAR A/L KARMEHAM</v>
          </cell>
          <cell r="B327" t="str">
            <v>5 35999783</v>
          </cell>
          <cell r="C327">
            <v>40714</v>
          </cell>
          <cell r="D327" t="str">
            <v>WP APPROVED</v>
          </cell>
          <cell r="F327" t="str">
            <v>TIER 1</v>
          </cell>
          <cell r="G327" t="str">
            <v>SKILLED</v>
          </cell>
          <cell r="H327">
            <v>180</v>
          </cell>
          <cell r="I327">
            <v>40725</v>
          </cell>
        </row>
        <row r="328">
          <cell r="A328" t="str">
            <v>REBECCA A/P RAMASAMY</v>
          </cell>
          <cell r="B328" t="str">
            <v>4 03646814</v>
          </cell>
          <cell r="C328">
            <v>40725</v>
          </cell>
          <cell r="D328" t="str">
            <v>WP APPROVED</v>
          </cell>
          <cell r="F328" t="str">
            <v>TIER 1</v>
          </cell>
          <cell r="G328" t="str">
            <v>UNSKILLED</v>
          </cell>
          <cell r="H328">
            <v>280</v>
          </cell>
          <cell r="I328">
            <v>40725</v>
          </cell>
        </row>
        <row r="329">
          <cell r="A329" t="str">
            <v>REN XUSHUI</v>
          </cell>
          <cell r="B329" t="str">
            <v>0 72288602</v>
          </cell>
          <cell r="C329">
            <v>39512</v>
          </cell>
          <cell r="D329" t="str">
            <v>WP LIVE</v>
          </cell>
          <cell r="E329">
            <v>40972</v>
          </cell>
          <cell r="F329" t="str">
            <v>TIER 1</v>
          </cell>
          <cell r="G329" t="str">
            <v>SKILLED</v>
          </cell>
          <cell r="H329">
            <v>180</v>
          </cell>
          <cell r="I329">
            <v>40269</v>
          </cell>
        </row>
        <row r="330">
          <cell r="A330" t="str">
            <v>RENGANATHAN A/L MUNIANDY</v>
          </cell>
          <cell r="B330" t="str">
            <v>5 23808958</v>
          </cell>
          <cell r="C330">
            <v>37480</v>
          </cell>
          <cell r="D330" t="str">
            <v>WP LIVE</v>
          </cell>
          <cell r="E330">
            <v>40967</v>
          </cell>
          <cell r="F330" t="str">
            <v>TIER 1</v>
          </cell>
          <cell r="G330" t="str">
            <v>UNSKILLED</v>
          </cell>
          <cell r="H330">
            <v>280</v>
          </cell>
          <cell r="I330">
            <v>37480</v>
          </cell>
        </row>
        <row r="331">
          <cell r="A331" t="str">
            <v>RINGGIT ANAK KILAU</v>
          </cell>
          <cell r="B331" t="str">
            <v>4 01918191</v>
          </cell>
          <cell r="C331">
            <v>40014</v>
          </cell>
          <cell r="D331" t="str">
            <v>WP LIVE</v>
          </cell>
          <cell r="E331">
            <v>41056</v>
          </cell>
          <cell r="F331" t="str">
            <v>TIER 1</v>
          </cell>
          <cell r="G331" t="str">
            <v>SKILLED</v>
          </cell>
          <cell r="H331">
            <v>180</v>
          </cell>
          <cell r="I331">
            <v>40330</v>
          </cell>
        </row>
        <row r="332">
          <cell r="A332" t="str">
            <v>ROSLAN BIN JAMALUDIN</v>
          </cell>
          <cell r="B332" t="str">
            <v>5 12219586</v>
          </cell>
          <cell r="C332">
            <v>40688</v>
          </cell>
          <cell r="D332" t="str">
            <v>WP LIVE</v>
          </cell>
          <cell r="E332">
            <v>41173</v>
          </cell>
          <cell r="F332" t="str">
            <v>TIER 1</v>
          </cell>
          <cell r="G332" t="str">
            <v>SKILLED</v>
          </cell>
          <cell r="H332">
            <v>180</v>
          </cell>
          <cell r="I332">
            <v>40688</v>
          </cell>
        </row>
        <row r="333">
          <cell r="A333" t="str">
            <v>ROSLI BIN MANAF</v>
          </cell>
          <cell r="B333" t="str">
            <v>3 73772887</v>
          </cell>
          <cell r="C333">
            <v>40675</v>
          </cell>
          <cell r="D333" t="str">
            <v>WP LIVE</v>
          </cell>
          <cell r="E333">
            <v>41423</v>
          </cell>
          <cell r="F333" t="str">
            <v>TIER 1</v>
          </cell>
          <cell r="G333" t="str">
            <v>SKILLED</v>
          </cell>
          <cell r="H333">
            <v>180</v>
          </cell>
          <cell r="I333">
            <v>40725</v>
          </cell>
        </row>
        <row r="334">
          <cell r="A334" t="str">
            <v>ROSMARIATI BINTI MUHAMMAD</v>
          </cell>
          <cell r="B334" t="str">
            <v>5 17743879</v>
          </cell>
          <cell r="C334">
            <v>40451</v>
          </cell>
          <cell r="D334" t="str">
            <v>WP LIVE</v>
          </cell>
          <cell r="E334">
            <v>41195</v>
          </cell>
          <cell r="F334" t="str">
            <v>TIER 1</v>
          </cell>
          <cell r="G334" t="str">
            <v>SKILLED</v>
          </cell>
          <cell r="H334">
            <v>180</v>
          </cell>
          <cell r="I334">
            <v>40725</v>
          </cell>
        </row>
        <row r="335">
          <cell r="A335" t="str">
            <v>ROSNIDA BINTI ABU HASAN</v>
          </cell>
          <cell r="B335" t="str">
            <v>4 03068853</v>
          </cell>
          <cell r="C335">
            <v>40583</v>
          </cell>
          <cell r="D335" t="str">
            <v>WP LIVE</v>
          </cell>
          <cell r="E335">
            <v>41321</v>
          </cell>
          <cell r="F335" t="str">
            <v>TIER 1</v>
          </cell>
          <cell r="G335" t="str">
            <v>SKILLED</v>
          </cell>
          <cell r="H335">
            <v>180</v>
          </cell>
          <cell r="I335">
            <v>40583</v>
          </cell>
        </row>
        <row r="336">
          <cell r="A336" t="str">
            <v>RUKUMANI A/P KARIVUNDAN</v>
          </cell>
          <cell r="B336" t="str">
            <v>3 80866188</v>
          </cell>
          <cell r="C336">
            <v>36291</v>
          </cell>
          <cell r="D336" t="str">
            <v>WP LIVE</v>
          </cell>
          <cell r="E336">
            <v>41373</v>
          </cell>
          <cell r="F336" t="str">
            <v>TIER 1</v>
          </cell>
          <cell r="G336" t="str">
            <v>UNSKILLED</v>
          </cell>
          <cell r="H336">
            <v>280</v>
          </cell>
          <cell r="I336">
            <v>36291</v>
          </cell>
        </row>
        <row r="337">
          <cell r="A337" t="str">
            <v>S MURUGAN A/L K SUPPIYAH</v>
          </cell>
          <cell r="B337" t="str">
            <v>5 01681369</v>
          </cell>
          <cell r="C337">
            <v>37183</v>
          </cell>
          <cell r="D337" t="str">
            <v>WP LIVE</v>
          </cell>
          <cell r="E337">
            <v>40729</v>
          </cell>
          <cell r="F337" t="str">
            <v>TIER 1</v>
          </cell>
          <cell r="G337" t="str">
            <v>SKILLED</v>
          </cell>
          <cell r="H337">
            <v>180</v>
          </cell>
          <cell r="I337">
            <v>37183</v>
          </cell>
        </row>
        <row r="338">
          <cell r="A338" t="str">
            <v>SANDARAN A/L PATCHAYAPPAN</v>
          </cell>
          <cell r="B338" t="str">
            <v>3 82513347</v>
          </cell>
          <cell r="C338">
            <v>36551</v>
          </cell>
          <cell r="D338" t="str">
            <v>WP LIVE</v>
          </cell>
          <cell r="E338">
            <v>40953</v>
          </cell>
          <cell r="F338" t="str">
            <v>TIER 1</v>
          </cell>
          <cell r="G338" t="str">
            <v>SKILLED</v>
          </cell>
          <cell r="H338">
            <v>180</v>
          </cell>
          <cell r="I338">
            <v>36551</v>
          </cell>
        </row>
        <row r="339">
          <cell r="A339" t="str">
            <v>SANTHIE A/P PUTTIAH @MUTTIAH</v>
          </cell>
          <cell r="B339" t="str">
            <v>5 0315157-</v>
          </cell>
          <cell r="C339">
            <v>35502</v>
          </cell>
          <cell r="D339" t="str">
            <v>WP LIVE</v>
          </cell>
          <cell r="E339">
            <v>40911</v>
          </cell>
          <cell r="F339" t="str">
            <v>TIER 1</v>
          </cell>
          <cell r="G339" t="str">
            <v>UNSKILLED</v>
          </cell>
          <cell r="H339">
            <v>280</v>
          </cell>
          <cell r="I339">
            <v>35502</v>
          </cell>
        </row>
        <row r="340">
          <cell r="A340" t="str">
            <v>SARASWATHY A/P LATCHUMANAN</v>
          </cell>
          <cell r="B340" t="str">
            <v>4 02256435</v>
          </cell>
          <cell r="C340">
            <v>40721</v>
          </cell>
          <cell r="D340" t="str">
            <v>WP APPROVED</v>
          </cell>
          <cell r="F340" t="str">
            <v>TIER 1</v>
          </cell>
          <cell r="G340" t="str">
            <v>SKILLED</v>
          </cell>
          <cell r="H340">
            <v>180</v>
          </cell>
          <cell r="I340">
            <v>40725</v>
          </cell>
        </row>
        <row r="341">
          <cell r="A341" t="str">
            <v>SARASWATHY A/P POLAYA</v>
          </cell>
          <cell r="B341" t="str">
            <v>4 0208183-</v>
          </cell>
          <cell r="C341">
            <v>40704</v>
          </cell>
          <cell r="D341" t="str">
            <v>WP LIVE</v>
          </cell>
          <cell r="E341">
            <v>41079</v>
          </cell>
          <cell r="F341" t="str">
            <v>TIER 1</v>
          </cell>
          <cell r="G341" t="str">
            <v>SKILLED</v>
          </cell>
          <cell r="H341">
            <v>180</v>
          </cell>
          <cell r="I341">
            <v>40704</v>
          </cell>
        </row>
        <row r="342">
          <cell r="A342" t="str">
            <v>SARAVANAN A/L KALIAPERUMAL</v>
          </cell>
          <cell r="B342" t="str">
            <v>4 00908206</v>
          </cell>
          <cell r="C342">
            <v>37767</v>
          </cell>
          <cell r="D342" t="str">
            <v>WP LIVE</v>
          </cell>
          <cell r="E342">
            <v>40968</v>
          </cell>
          <cell r="F342" t="str">
            <v>TIER 1</v>
          </cell>
          <cell r="G342" t="str">
            <v>UNSKILLED</v>
          </cell>
          <cell r="H342">
            <v>280</v>
          </cell>
          <cell r="I342">
            <v>37767</v>
          </cell>
        </row>
        <row r="343">
          <cell r="A343" t="str">
            <v>SARAVANAN A/L SELVARAJ</v>
          </cell>
          <cell r="B343" t="str">
            <v>4 00235600</v>
          </cell>
          <cell r="C343">
            <v>35709</v>
          </cell>
          <cell r="D343" t="str">
            <v>WP LIVE</v>
          </cell>
          <cell r="E343">
            <v>41010</v>
          </cell>
          <cell r="F343" t="str">
            <v>TIER 1</v>
          </cell>
          <cell r="G343" t="str">
            <v>UNSKILLED</v>
          </cell>
          <cell r="H343">
            <v>280</v>
          </cell>
          <cell r="I343">
            <v>35709</v>
          </cell>
        </row>
        <row r="344">
          <cell r="A344" t="str">
            <v>SARAWATHY A/P MANI</v>
          </cell>
          <cell r="B344" t="str">
            <v>5 23031880</v>
          </cell>
          <cell r="C344">
            <v>38187</v>
          </cell>
          <cell r="D344" t="str">
            <v>WP LIVE</v>
          </cell>
          <cell r="E344">
            <v>41113</v>
          </cell>
          <cell r="F344" t="str">
            <v>TIER 1</v>
          </cell>
          <cell r="G344" t="str">
            <v>UNSKILLED</v>
          </cell>
          <cell r="H344">
            <v>280</v>
          </cell>
          <cell r="I344">
            <v>38187</v>
          </cell>
        </row>
        <row r="345">
          <cell r="A345" t="str">
            <v>SARESPATHY A/P LEDCHUMANAN</v>
          </cell>
          <cell r="B345" t="str">
            <v>3 73522007</v>
          </cell>
          <cell r="C345">
            <v>37258</v>
          </cell>
          <cell r="D345" t="str">
            <v>WP LIVE</v>
          </cell>
          <cell r="E345">
            <v>41400</v>
          </cell>
          <cell r="F345" t="str">
            <v>TIER 1</v>
          </cell>
          <cell r="G345" t="str">
            <v>UNSKILLED</v>
          </cell>
          <cell r="H345">
            <v>280</v>
          </cell>
          <cell r="I345">
            <v>37258</v>
          </cell>
        </row>
        <row r="346">
          <cell r="A346" t="str">
            <v>SAROJA A/P NAGAMUTHU</v>
          </cell>
          <cell r="B346" t="str">
            <v>3 49673827</v>
          </cell>
          <cell r="C346">
            <v>36297</v>
          </cell>
          <cell r="D346" t="str">
            <v>WP LIVE</v>
          </cell>
          <cell r="E346">
            <v>41264</v>
          </cell>
          <cell r="F346" t="str">
            <v>TIER 1</v>
          </cell>
          <cell r="G346" t="str">
            <v>UNSKILLED</v>
          </cell>
          <cell r="H346">
            <v>280</v>
          </cell>
          <cell r="I346">
            <v>36297</v>
          </cell>
        </row>
        <row r="347">
          <cell r="A347" t="str">
            <v>SAROJADAVI A/P VELAYADAN</v>
          </cell>
          <cell r="B347" t="str">
            <v>3 68697672</v>
          </cell>
          <cell r="C347">
            <v>38267</v>
          </cell>
          <cell r="D347" t="str">
            <v>WP LIVE</v>
          </cell>
          <cell r="E347">
            <v>40761</v>
          </cell>
          <cell r="F347" t="str">
            <v>TIER 1</v>
          </cell>
          <cell r="G347" t="str">
            <v>UNSKILLED</v>
          </cell>
          <cell r="H347">
            <v>280</v>
          </cell>
          <cell r="I347">
            <v>38267</v>
          </cell>
        </row>
        <row r="348">
          <cell r="A348" t="str">
            <v>SAROJINI A/P SUPRAMANIAM</v>
          </cell>
          <cell r="B348" t="str">
            <v>4 0284292-</v>
          </cell>
          <cell r="C348">
            <v>40644</v>
          </cell>
          <cell r="D348" t="str">
            <v>WP LIVE</v>
          </cell>
          <cell r="E348">
            <v>41235</v>
          </cell>
          <cell r="F348" t="str">
            <v>TIER 1</v>
          </cell>
          <cell r="G348" t="str">
            <v>SKILLED</v>
          </cell>
          <cell r="H348">
            <v>180</v>
          </cell>
          <cell r="I348">
            <v>40644</v>
          </cell>
        </row>
        <row r="349">
          <cell r="A349" t="str">
            <v>SATHYAVANI A/P PACHIMUTHU</v>
          </cell>
          <cell r="B349" t="str">
            <v>5 30134296</v>
          </cell>
          <cell r="C349">
            <v>40688</v>
          </cell>
          <cell r="D349" t="str">
            <v>WP LIVE</v>
          </cell>
          <cell r="E349">
            <v>41432</v>
          </cell>
          <cell r="F349" t="str">
            <v>TIER 1</v>
          </cell>
          <cell r="G349" t="str">
            <v>SKILLED</v>
          </cell>
          <cell r="H349">
            <v>180</v>
          </cell>
          <cell r="I349">
            <v>40688</v>
          </cell>
        </row>
        <row r="350">
          <cell r="A350" t="str">
            <v>SENDIE ANAK UNCHIT</v>
          </cell>
          <cell r="B350" t="str">
            <v>8 90124275</v>
          </cell>
          <cell r="C350">
            <v>40725</v>
          </cell>
          <cell r="D350" t="str">
            <v>WP APPROVED</v>
          </cell>
          <cell r="F350" t="str">
            <v>TIER 1</v>
          </cell>
          <cell r="G350" t="str">
            <v>UNSKILLED</v>
          </cell>
          <cell r="H350">
            <v>280</v>
          </cell>
          <cell r="I350">
            <v>40725</v>
          </cell>
        </row>
        <row r="351">
          <cell r="A351" t="str">
            <v>SERENA CHRISTOPHER</v>
          </cell>
          <cell r="B351" t="str">
            <v>4 01760946</v>
          </cell>
          <cell r="C351">
            <v>40630</v>
          </cell>
          <cell r="D351" t="str">
            <v>WP LIVE</v>
          </cell>
          <cell r="E351">
            <v>41368</v>
          </cell>
          <cell r="F351" t="str">
            <v>TIER 1</v>
          </cell>
          <cell r="G351" t="str">
            <v>SKILLED</v>
          </cell>
          <cell r="H351">
            <v>180</v>
          </cell>
          <cell r="I351">
            <v>40630</v>
          </cell>
        </row>
        <row r="352">
          <cell r="A352" t="str">
            <v>SHA HONGYING</v>
          </cell>
          <cell r="B352" t="str">
            <v>0 72355423</v>
          </cell>
          <cell r="C352">
            <v>39535</v>
          </cell>
          <cell r="D352" t="str">
            <v>WP LIVE</v>
          </cell>
          <cell r="E352">
            <v>40997</v>
          </cell>
          <cell r="F352" t="str">
            <v>TIER 1</v>
          </cell>
          <cell r="G352" t="str">
            <v>SKILLED</v>
          </cell>
          <cell r="H352">
            <v>180</v>
          </cell>
          <cell r="I352">
            <v>39535</v>
          </cell>
        </row>
        <row r="353">
          <cell r="A353" t="str">
            <v>SHA XIAO DONG</v>
          </cell>
          <cell r="B353" t="str">
            <v>0 57840366</v>
          </cell>
          <cell r="C353">
            <v>39322</v>
          </cell>
          <cell r="D353" t="str">
            <v>WP LIVE</v>
          </cell>
          <cell r="E353">
            <v>40790</v>
          </cell>
          <cell r="F353" t="str">
            <v>TIER 1</v>
          </cell>
          <cell r="G353" t="str">
            <v>SKILLED</v>
          </cell>
          <cell r="H353">
            <v>180</v>
          </cell>
          <cell r="I353">
            <v>39356</v>
          </cell>
        </row>
        <row r="354">
          <cell r="A354" t="str">
            <v>SHAMALA DEVI A/P RAJUNDRAN</v>
          </cell>
          <cell r="B354" t="str">
            <v>4 01636986</v>
          </cell>
          <cell r="C354">
            <v>40679</v>
          </cell>
          <cell r="D354" t="str">
            <v>WP LIVE</v>
          </cell>
          <cell r="E354">
            <v>41329</v>
          </cell>
          <cell r="F354" t="str">
            <v>TIER 1</v>
          </cell>
          <cell r="G354" t="str">
            <v>SKILLED</v>
          </cell>
          <cell r="H354">
            <v>180</v>
          </cell>
          <cell r="I354">
            <v>40725</v>
          </cell>
        </row>
        <row r="355">
          <cell r="A355" t="str">
            <v>SHAMRI BIN MINSIN</v>
          </cell>
          <cell r="B355" t="str">
            <v>4 03033979</v>
          </cell>
          <cell r="C355">
            <v>40206</v>
          </cell>
          <cell r="D355" t="str">
            <v>WP LIVE</v>
          </cell>
          <cell r="E355">
            <v>40942</v>
          </cell>
          <cell r="F355" t="str">
            <v>TIER 1</v>
          </cell>
          <cell r="G355" t="str">
            <v>SKILLED</v>
          </cell>
          <cell r="H355">
            <v>180</v>
          </cell>
          <cell r="I355">
            <v>40725</v>
          </cell>
        </row>
        <row r="356">
          <cell r="A356" t="str">
            <v>SHAN KANG SHAN</v>
          </cell>
          <cell r="B356" t="str">
            <v>0 72206495</v>
          </cell>
          <cell r="C356">
            <v>39476</v>
          </cell>
          <cell r="D356" t="str">
            <v>WP LIVE</v>
          </cell>
          <cell r="E356">
            <v>40937</v>
          </cell>
          <cell r="F356" t="str">
            <v>TIER 1</v>
          </cell>
          <cell r="G356" t="str">
            <v>SKILLED</v>
          </cell>
          <cell r="H356">
            <v>180</v>
          </cell>
          <cell r="I356">
            <v>39476</v>
          </cell>
        </row>
        <row r="357">
          <cell r="A357" t="str">
            <v>SHARMILA DEVI A/P RAJUNDRAN</v>
          </cell>
          <cell r="B357" t="str">
            <v>4 03765007</v>
          </cell>
          <cell r="C357">
            <v>40662</v>
          </cell>
          <cell r="D357" t="str">
            <v>WP LIVE</v>
          </cell>
          <cell r="E357">
            <v>40912</v>
          </cell>
          <cell r="F357" t="str">
            <v>TIER 1</v>
          </cell>
          <cell r="G357" t="str">
            <v>SKILLED</v>
          </cell>
          <cell r="H357">
            <v>180</v>
          </cell>
          <cell r="I357">
            <v>40662</v>
          </cell>
        </row>
        <row r="358">
          <cell r="A358" t="str">
            <v>SHEELA A/P KRISHNA</v>
          </cell>
          <cell r="B358" t="str">
            <v>4 00182647</v>
          </cell>
          <cell r="C358">
            <v>40458</v>
          </cell>
          <cell r="D358" t="str">
            <v>WP LIVE</v>
          </cell>
          <cell r="E358">
            <v>41196</v>
          </cell>
          <cell r="F358" t="str">
            <v>TIER 1</v>
          </cell>
          <cell r="G358" t="str">
            <v>SKILLED</v>
          </cell>
          <cell r="H358">
            <v>180</v>
          </cell>
          <cell r="I358">
            <v>40725</v>
          </cell>
        </row>
        <row r="359">
          <cell r="A359" t="str">
            <v>SHEN LINLIN</v>
          </cell>
          <cell r="B359" t="str">
            <v>0 72288211</v>
          </cell>
          <cell r="C359">
            <v>39512</v>
          </cell>
          <cell r="D359" t="str">
            <v>WP LIVE</v>
          </cell>
          <cell r="E359">
            <v>40972</v>
          </cell>
          <cell r="F359" t="str">
            <v>TIER 1</v>
          </cell>
          <cell r="G359" t="str">
            <v>SKILLED</v>
          </cell>
          <cell r="H359">
            <v>180</v>
          </cell>
          <cell r="I359">
            <v>40269</v>
          </cell>
        </row>
        <row r="360">
          <cell r="A360" t="str">
            <v>SHEN XIAOPING</v>
          </cell>
          <cell r="B360" t="str">
            <v>0 72315413</v>
          </cell>
          <cell r="C360">
            <v>39521</v>
          </cell>
          <cell r="D360" t="str">
            <v>WP LIVE</v>
          </cell>
          <cell r="E360">
            <v>40972</v>
          </cell>
          <cell r="F360" t="str">
            <v>TIER 1</v>
          </cell>
          <cell r="G360" t="str">
            <v>SKILLED</v>
          </cell>
          <cell r="H360">
            <v>180</v>
          </cell>
          <cell r="I360">
            <v>39661</v>
          </cell>
        </row>
        <row r="361">
          <cell r="A361" t="str">
            <v>SHI AI HONG</v>
          </cell>
          <cell r="B361" t="str">
            <v>0 72160797</v>
          </cell>
          <cell r="C361">
            <v>39463</v>
          </cell>
          <cell r="D361" t="str">
            <v>WP LIVE</v>
          </cell>
          <cell r="E361">
            <v>40924</v>
          </cell>
          <cell r="F361" t="str">
            <v>TIER 1</v>
          </cell>
          <cell r="G361" t="str">
            <v>SKILLED</v>
          </cell>
          <cell r="H361">
            <v>180</v>
          </cell>
          <cell r="I361">
            <v>39463</v>
          </cell>
        </row>
        <row r="362">
          <cell r="A362" t="str">
            <v>SHI HONG BO</v>
          </cell>
          <cell r="B362" t="str">
            <v>0 57849681</v>
          </cell>
          <cell r="C362">
            <v>39328</v>
          </cell>
          <cell r="D362" t="str">
            <v>WP LIVE</v>
          </cell>
          <cell r="E362">
            <v>40790</v>
          </cell>
          <cell r="F362" t="str">
            <v>TIER 1</v>
          </cell>
          <cell r="G362" t="str">
            <v>SKILLED</v>
          </cell>
          <cell r="H362">
            <v>180</v>
          </cell>
          <cell r="I362">
            <v>39328</v>
          </cell>
        </row>
        <row r="363">
          <cell r="A363" t="str">
            <v>SHI SHUJUAN</v>
          </cell>
          <cell r="B363" t="str">
            <v>0 72255992</v>
          </cell>
          <cell r="C363">
            <v>39501</v>
          </cell>
          <cell r="D363" t="str">
            <v>WP LIVE</v>
          </cell>
          <cell r="E363">
            <v>40962</v>
          </cell>
          <cell r="F363" t="str">
            <v>TIER 1</v>
          </cell>
          <cell r="G363" t="str">
            <v>SKILLED</v>
          </cell>
          <cell r="H363">
            <v>180</v>
          </cell>
          <cell r="I363">
            <v>40725</v>
          </cell>
        </row>
        <row r="364">
          <cell r="A364" t="str">
            <v>SHI XIUBAO</v>
          </cell>
          <cell r="B364" t="str">
            <v>0 7253882-</v>
          </cell>
          <cell r="C364">
            <v>39918</v>
          </cell>
          <cell r="D364" t="str">
            <v>WP LIVE</v>
          </cell>
          <cell r="E364">
            <v>41014</v>
          </cell>
          <cell r="F364" t="str">
            <v>TIER 1</v>
          </cell>
          <cell r="G364" t="str">
            <v>SKILLED</v>
          </cell>
          <cell r="H364">
            <v>180</v>
          </cell>
          <cell r="I364">
            <v>39995</v>
          </cell>
        </row>
        <row r="365">
          <cell r="A365" t="str">
            <v>SI BUJUAN</v>
          </cell>
          <cell r="B365" t="str">
            <v>0 72238974</v>
          </cell>
          <cell r="C365">
            <v>39496</v>
          </cell>
          <cell r="D365" t="str">
            <v>WP LIVE</v>
          </cell>
          <cell r="E365">
            <v>40956</v>
          </cell>
          <cell r="F365" t="str">
            <v>TIER 1</v>
          </cell>
          <cell r="G365" t="str">
            <v>SKILLED</v>
          </cell>
          <cell r="H365">
            <v>180</v>
          </cell>
          <cell r="I365">
            <v>40238</v>
          </cell>
        </row>
        <row r="366">
          <cell r="A366" t="str">
            <v>SIA GUAT SEAN</v>
          </cell>
          <cell r="B366" t="str">
            <v>3 54714272</v>
          </cell>
          <cell r="C366">
            <v>40514</v>
          </cell>
          <cell r="D366" t="str">
            <v>WP LIVE</v>
          </cell>
          <cell r="E366">
            <v>41208</v>
          </cell>
          <cell r="F366" t="str">
            <v>TIER 1</v>
          </cell>
          <cell r="G366" t="str">
            <v>SKILLED</v>
          </cell>
          <cell r="H366">
            <v>180</v>
          </cell>
          <cell r="I366">
            <v>40514</v>
          </cell>
        </row>
        <row r="367">
          <cell r="A367" t="str">
            <v>SIAMALADEWE A/P MANOHARAN</v>
          </cell>
          <cell r="B367" t="str">
            <v>4 03172839</v>
          </cell>
          <cell r="C367">
            <v>40413</v>
          </cell>
          <cell r="D367" t="str">
            <v>WP LIVE</v>
          </cell>
          <cell r="E367">
            <v>41157</v>
          </cell>
          <cell r="F367" t="str">
            <v>TIER 1</v>
          </cell>
          <cell r="G367" t="str">
            <v>SKILLED</v>
          </cell>
          <cell r="H367">
            <v>180</v>
          </cell>
          <cell r="I367">
            <v>40413</v>
          </cell>
        </row>
        <row r="368">
          <cell r="A368" t="str">
            <v>SING KIM MOOI</v>
          </cell>
          <cell r="B368" t="str">
            <v>3 64132484</v>
          </cell>
          <cell r="C368">
            <v>38124</v>
          </cell>
          <cell r="D368" t="str">
            <v>WP LIVE</v>
          </cell>
          <cell r="E368">
            <v>41068</v>
          </cell>
          <cell r="F368" t="str">
            <v>TIER 1</v>
          </cell>
          <cell r="G368" t="str">
            <v>UNSKILLED</v>
          </cell>
          <cell r="H368">
            <v>280</v>
          </cell>
          <cell r="I368">
            <v>38124</v>
          </cell>
        </row>
        <row r="369">
          <cell r="A369" t="str">
            <v>SIVA KUMAR A/L NAGAMAYAH</v>
          </cell>
          <cell r="B369" t="str">
            <v>4 00077037</v>
          </cell>
          <cell r="C369">
            <v>35724</v>
          </cell>
          <cell r="D369" t="str">
            <v>WP LIVE</v>
          </cell>
          <cell r="E369">
            <v>41345</v>
          </cell>
          <cell r="F369" t="str">
            <v>TIER 1</v>
          </cell>
          <cell r="G369" t="str">
            <v>UNSKILLED</v>
          </cell>
          <cell r="H369">
            <v>280</v>
          </cell>
          <cell r="I369">
            <v>35724</v>
          </cell>
        </row>
        <row r="370">
          <cell r="A370" t="str">
            <v>SIVAGANESH A/L NATHA</v>
          </cell>
          <cell r="B370" t="str">
            <v>4 01070567</v>
          </cell>
          <cell r="C370">
            <v>40667</v>
          </cell>
          <cell r="D370" t="str">
            <v>WP LIVE</v>
          </cell>
          <cell r="E370">
            <v>41416</v>
          </cell>
          <cell r="F370" t="str">
            <v>TIER 1</v>
          </cell>
          <cell r="G370" t="str">
            <v>SKILLED</v>
          </cell>
          <cell r="H370">
            <v>180</v>
          </cell>
          <cell r="I370">
            <v>40667</v>
          </cell>
        </row>
        <row r="371">
          <cell r="A371" t="str">
            <v>SIVANAATHAN A/L GOVINDASAMY</v>
          </cell>
          <cell r="B371" t="str">
            <v>4 01949933</v>
          </cell>
          <cell r="C371">
            <v>38580</v>
          </cell>
          <cell r="D371" t="str">
            <v>WP LIVE</v>
          </cell>
          <cell r="E371">
            <v>41085</v>
          </cell>
          <cell r="F371" t="str">
            <v>TIER 1</v>
          </cell>
          <cell r="G371" t="str">
            <v>SKILLED</v>
          </cell>
          <cell r="H371">
            <v>180</v>
          </cell>
          <cell r="I371">
            <v>38580</v>
          </cell>
        </row>
        <row r="372">
          <cell r="A372" t="str">
            <v>SOH JIA YING</v>
          </cell>
          <cell r="B372" t="str">
            <v>4 03457906</v>
          </cell>
          <cell r="C372">
            <v>40602</v>
          </cell>
          <cell r="D372" t="str">
            <v>WP LIVE</v>
          </cell>
          <cell r="E372">
            <v>41340</v>
          </cell>
          <cell r="F372" t="str">
            <v>TIER 1</v>
          </cell>
          <cell r="G372" t="str">
            <v>SKILLED</v>
          </cell>
          <cell r="H372">
            <v>180</v>
          </cell>
          <cell r="I372">
            <v>40725</v>
          </cell>
        </row>
        <row r="373">
          <cell r="A373" t="str">
            <v>SONG FENGQIN</v>
          </cell>
          <cell r="B373" t="str">
            <v>0 57981679</v>
          </cell>
          <cell r="C373">
            <v>39402</v>
          </cell>
          <cell r="D373" t="str">
            <v>WP LIVE</v>
          </cell>
          <cell r="E373">
            <v>41215</v>
          </cell>
          <cell r="F373" t="str">
            <v>TIER 1</v>
          </cell>
          <cell r="G373" t="str">
            <v>SKILLED</v>
          </cell>
          <cell r="H373">
            <v>180</v>
          </cell>
          <cell r="I373">
            <v>39402</v>
          </cell>
        </row>
        <row r="374">
          <cell r="A374" t="str">
            <v>SONG ZHIQIANG</v>
          </cell>
          <cell r="B374" t="str">
            <v>0 73264324</v>
          </cell>
          <cell r="C374">
            <v>39883</v>
          </cell>
          <cell r="D374" t="str">
            <v>WP LIVE</v>
          </cell>
          <cell r="E374">
            <v>41334</v>
          </cell>
          <cell r="F374" t="str">
            <v>TIER 1</v>
          </cell>
          <cell r="G374" t="str">
            <v>SKILLED</v>
          </cell>
          <cell r="H374">
            <v>180</v>
          </cell>
          <cell r="I374">
            <v>40634</v>
          </cell>
        </row>
        <row r="375">
          <cell r="A375" t="str">
            <v>SOO LAI HAN</v>
          </cell>
          <cell r="B375" t="str">
            <v>3 45362592</v>
          </cell>
          <cell r="C375">
            <v>36395</v>
          </cell>
          <cell r="D375" t="str">
            <v>WP LIVE</v>
          </cell>
          <cell r="E375">
            <v>41099</v>
          </cell>
          <cell r="F375" t="str">
            <v>TIER 1</v>
          </cell>
          <cell r="G375" t="str">
            <v>UNSKILLED</v>
          </cell>
          <cell r="H375">
            <v>280</v>
          </cell>
          <cell r="I375">
            <v>36395</v>
          </cell>
        </row>
        <row r="376">
          <cell r="A376" t="str">
            <v>SREE CHANDRAN A/L AYAVOO</v>
          </cell>
          <cell r="B376" t="str">
            <v>5 2223317-</v>
          </cell>
          <cell r="C376">
            <v>39379</v>
          </cell>
          <cell r="D376" t="str">
            <v>WP LIVE</v>
          </cell>
          <cell r="E376">
            <v>41215</v>
          </cell>
          <cell r="F376" t="str">
            <v>TIER 1</v>
          </cell>
          <cell r="G376" t="str">
            <v>SKILLED</v>
          </cell>
          <cell r="H376">
            <v>180</v>
          </cell>
          <cell r="I376">
            <v>39379</v>
          </cell>
        </row>
        <row r="377">
          <cell r="A377" t="str">
            <v>SRI KALI A/P SIVALINGAN</v>
          </cell>
          <cell r="B377" t="str">
            <v>4 02081384</v>
          </cell>
          <cell r="C377">
            <v>40616</v>
          </cell>
          <cell r="D377" t="str">
            <v>WP LIVE</v>
          </cell>
          <cell r="E377">
            <v>41230</v>
          </cell>
          <cell r="F377" t="str">
            <v>TIER 1</v>
          </cell>
          <cell r="G377" t="str">
            <v>SKILLED</v>
          </cell>
          <cell r="H377">
            <v>180</v>
          </cell>
          <cell r="I377">
            <v>40725</v>
          </cell>
        </row>
        <row r="378">
          <cell r="A378" t="str">
            <v>SUARI BIN BALIWAN</v>
          </cell>
          <cell r="B378" t="str">
            <v>6 09077999</v>
          </cell>
          <cell r="C378">
            <v>40183</v>
          </cell>
          <cell r="D378" t="str">
            <v>WP LIVE</v>
          </cell>
          <cell r="E378">
            <v>40829</v>
          </cell>
          <cell r="F378" t="str">
            <v>TIER 1</v>
          </cell>
          <cell r="G378" t="str">
            <v>SKILLED</v>
          </cell>
          <cell r="H378">
            <v>180</v>
          </cell>
          <cell r="I378">
            <v>40183</v>
          </cell>
        </row>
        <row r="379">
          <cell r="A379" t="str">
            <v>SUBRAMANIAM A/LCHINNABAYAM</v>
          </cell>
          <cell r="B379" t="str">
            <v>5 32147654</v>
          </cell>
          <cell r="C379">
            <v>36843</v>
          </cell>
          <cell r="D379" t="str">
            <v>WP LIVE</v>
          </cell>
          <cell r="E379">
            <v>41177</v>
          </cell>
          <cell r="F379" t="str">
            <v>TIER 1</v>
          </cell>
          <cell r="G379" t="str">
            <v>SKILLED</v>
          </cell>
          <cell r="H379">
            <v>180</v>
          </cell>
          <cell r="I379">
            <v>36843</v>
          </cell>
        </row>
        <row r="380">
          <cell r="A380" t="str">
            <v>SUGANYAA A/P LEELAKUMAR</v>
          </cell>
          <cell r="B380" t="str">
            <v>4 03679658</v>
          </cell>
          <cell r="C380">
            <v>40603</v>
          </cell>
          <cell r="D380" t="str">
            <v>WP LIVE</v>
          </cell>
          <cell r="E380">
            <v>41248</v>
          </cell>
          <cell r="F380" t="str">
            <v>TIER 1</v>
          </cell>
          <cell r="G380" t="str">
            <v>SKILLED</v>
          </cell>
          <cell r="H380">
            <v>180</v>
          </cell>
          <cell r="I380">
            <v>40603</v>
          </cell>
        </row>
        <row r="381">
          <cell r="A381" t="str">
            <v>SUGUMARAN A/L JAGANATHAN</v>
          </cell>
          <cell r="B381" t="str">
            <v>3 83789761</v>
          </cell>
          <cell r="C381">
            <v>36846</v>
          </cell>
          <cell r="D381" t="str">
            <v>WP LIVE</v>
          </cell>
          <cell r="E381">
            <v>41214</v>
          </cell>
          <cell r="F381" t="str">
            <v>TIER 1</v>
          </cell>
          <cell r="G381" t="str">
            <v>SKILLED</v>
          </cell>
          <cell r="H381">
            <v>180</v>
          </cell>
          <cell r="I381">
            <v>36846</v>
          </cell>
        </row>
        <row r="382">
          <cell r="A382" t="str">
            <v>SUGUNA A/P RENGANATHAM</v>
          </cell>
          <cell r="B382" t="str">
            <v>4 0163343-</v>
          </cell>
          <cell r="C382">
            <v>38100</v>
          </cell>
          <cell r="D382" t="str">
            <v>WP LIVE</v>
          </cell>
          <cell r="E382">
            <v>41357</v>
          </cell>
          <cell r="F382" t="str">
            <v>TIER 1</v>
          </cell>
          <cell r="G382" t="str">
            <v>UNSKILLED</v>
          </cell>
          <cell r="H382">
            <v>280</v>
          </cell>
          <cell r="I382">
            <v>38100</v>
          </cell>
        </row>
        <row r="383">
          <cell r="A383" t="str">
            <v>SUKUMAHRAN A/L KAYAMBOO</v>
          </cell>
          <cell r="B383" t="str">
            <v>5 01390143</v>
          </cell>
          <cell r="C383">
            <v>36609</v>
          </cell>
          <cell r="D383" t="str">
            <v>WP LIVE</v>
          </cell>
          <cell r="E383">
            <v>41355</v>
          </cell>
          <cell r="F383" t="str">
            <v>TIER 1</v>
          </cell>
          <cell r="G383" t="str">
            <v>SKILLED</v>
          </cell>
          <cell r="H383">
            <v>180</v>
          </cell>
          <cell r="I383">
            <v>36609</v>
          </cell>
        </row>
        <row r="384">
          <cell r="A384" t="str">
            <v>SUN CHI</v>
          </cell>
          <cell r="B384" t="str">
            <v>0 72604075</v>
          </cell>
          <cell r="C384">
            <v>39597</v>
          </cell>
          <cell r="D384" t="str">
            <v>WP LIVE</v>
          </cell>
          <cell r="E384">
            <v>41057</v>
          </cell>
          <cell r="F384" t="str">
            <v>TIER 1</v>
          </cell>
          <cell r="G384" t="str">
            <v>SKILLED</v>
          </cell>
          <cell r="H384">
            <v>180</v>
          </cell>
          <cell r="I384">
            <v>39597</v>
          </cell>
        </row>
        <row r="385">
          <cell r="A385" t="str">
            <v>SUN HAIJUN</v>
          </cell>
          <cell r="B385" t="str">
            <v>0 72621905</v>
          </cell>
          <cell r="C385">
            <v>39605</v>
          </cell>
          <cell r="D385" t="str">
            <v>WP LIVE</v>
          </cell>
          <cell r="E385">
            <v>41067</v>
          </cell>
          <cell r="F385" t="str">
            <v>TIER 1</v>
          </cell>
          <cell r="G385" t="str">
            <v>SKILLED</v>
          </cell>
          <cell r="H385">
            <v>180</v>
          </cell>
          <cell r="I385">
            <v>40725</v>
          </cell>
        </row>
        <row r="386">
          <cell r="A386" t="str">
            <v>SUN LIBIN</v>
          </cell>
          <cell r="B386" t="str">
            <v>0 72288416</v>
          </cell>
          <cell r="C386">
            <v>39512</v>
          </cell>
          <cell r="D386" t="str">
            <v>WP LIVE</v>
          </cell>
          <cell r="E386">
            <v>41333</v>
          </cell>
          <cell r="F386" t="str">
            <v>TIER 1</v>
          </cell>
          <cell r="G386" t="str">
            <v>SKILLED</v>
          </cell>
          <cell r="H386">
            <v>180</v>
          </cell>
          <cell r="I386">
            <v>39569</v>
          </cell>
        </row>
        <row r="387">
          <cell r="A387" t="str">
            <v>SUN LIMEI</v>
          </cell>
          <cell r="B387" t="str">
            <v>0 72353315</v>
          </cell>
          <cell r="C387">
            <v>39534</v>
          </cell>
          <cell r="D387" t="str">
            <v>WP LIVE</v>
          </cell>
          <cell r="E387">
            <v>40997</v>
          </cell>
          <cell r="F387" t="str">
            <v>TIER 1</v>
          </cell>
          <cell r="G387" t="str">
            <v>SKILLED</v>
          </cell>
          <cell r="H387">
            <v>180</v>
          </cell>
          <cell r="I387">
            <v>40269</v>
          </cell>
        </row>
        <row r="388">
          <cell r="A388" t="str">
            <v>SUN WEIWEI</v>
          </cell>
          <cell r="B388" t="str">
            <v>0 7225578-</v>
          </cell>
          <cell r="C388">
            <v>39501</v>
          </cell>
          <cell r="D388" t="str">
            <v>WP LIVE</v>
          </cell>
          <cell r="E388">
            <v>40964</v>
          </cell>
          <cell r="F388" t="str">
            <v>TIER 1</v>
          </cell>
          <cell r="G388" t="str">
            <v>SKILLED</v>
          </cell>
          <cell r="H388">
            <v>180</v>
          </cell>
          <cell r="I388">
            <v>39569</v>
          </cell>
        </row>
        <row r="389">
          <cell r="A389" t="str">
            <v>SUN YAN XIA</v>
          </cell>
          <cell r="B389" t="str">
            <v>0 5771011-</v>
          </cell>
          <cell r="C389">
            <v>39260</v>
          </cell>
          <cell r="D389" t="str">
            <v>WP LIVE</v>
          </cell>
          <cell r="E389">
            <v>40753</v>
          </cell>
          <cell r="F389" t="str">
            <v>TIER 1</v>
          </cell>
          <cell r="G389" t="str">
            <v>SKILLED</v>
          </cell>
          <cell r="H389">
            <v>180</v>
          </cell>
          <cell r="I389">
            <v>39356</v>
          </cell>
        </row>
        <row r="390">
          <cell r="A390" t="str">
            <v>SUN ZUYI</v>
          </cell>
          <cell r="B390" t="str">
            <v>0 72621735</v>
          </cell>
          <cell r="C390">
            <v>39605</v>
          </cell>
          <cell r="D390" t="str">
            <v>WP LIVE</v>
          </cell>
          <cell r="E390">
            <v>41067</v>
          </cell>
          <cell r="F390" t="str">
            <v>TIER 1</v>
          </cell>
          <cell r="G390" t="str">
            <v>SKILLED</v>
          </cell>
          <cell r="H390">
            <v>180</v>
          </cell>
          <cell r="I390">
            <v>40725</v>
          </cell>
        </row>
        <row r="391">
          <cell r="A391" t="str">
            <v>SURENDRAN A/L RAMAKRISHNAN</v>
          </cell>
          <cell r="B391" t="str">
            <v>4 02676906</v>
          </cell>
          <cell r="C391">
            <v>40500</v>
          </cell>
          <cell r="D391" t="str">
            <v>WP LIVE</v>
          </cell>
          <cell r="E391">
            <v>41141</v>
          </cell>
          <cell r="F391" t="str">
            <v>TIER 1</v>
          </cell>
          <cell r="G391" t="str">
            <v>SKILLED</v>
          </cell>
          <cell r="H391">
            <v>180</v>
          </cell>
          <cell r="I391">
            <v>40500</v>
          </cell>
        </row>
        <row r="392">
          <cell r="A392" t="str">
            <v>SUZANA MERLIN A/P MICHAEL</v>
          </cell>
          <cell r="B392" t="str">
            <v>4 01756418</v>
          </cell>
          <cell r="C392">
            <v>39154</v>
          </cell>
          <cell r="D392" t="str">
            <v>WP LIVE</v>
          </cell>
          <cell r="E392">
            <v>41360</v>
          </cell>
          <cell r="F392" t="str">
            <v>TIER 1</v>
          </cell>
          <cell r="G392" t="str">
            <v>SKILLED</v>
          </cell>
          <cell r="H392">
            <v>180</v>
          </cell>
          <cell r="I392">
            <v>39154</v>
          </cell>
        </row>
        <row r="393">
          <cell r="A393" t="str">
            <v>SYAHRUN NAHAR BIN ABDUL RAHIM</v>
          </cell>
          <cell r="B393" t="str">
            <v>5 25111431</v>
          </cell>
          <cell r="C393">
            <v>40191</v>
          </cell>
          <cell r="D393" t="str">
            <v>WP LIVE</v>
          </cell>
          <cell r="E393">
            <v>40930</v>
          </cell>
          <cell r="F393" t="str">
            <v>TIER 1</v>
          </cell>
          <cell r="G393" t="str">
            <v>SKILLED</v>
          </cell>
          <cell r="H393">
            <v>180</v>
          </cell>
          <cell r="I393">
            <v>40725</v>
          </cell>
        </row>
        <row r="394">
          <cell r="A394" t="str">
            <v>TADCAYANI A/P KRISHNAN</v>
          </cell>
          <cell r="B394" t="str">
            <v>4 01231056</v>
          </cell>
          <cell r="C394">
            <v>37340</v>
          </cell>
          <cell r="D394" t="str">
            <v>WP LIVE</v>
          </cell>
          <cell r="E394">
            <v>41297</v>
          </cell>
          <cell r="F394" t="str">
            <v>TIER 1</v>
          </cell>
          <cell r="G394" t="str">
            <v>UNSKILLED</v>
          </cell>
          <cell r="H394">
            <v>280</v>
          </cell>
          <cell r="I394">
            <v>37340</v>
          </cell>
        </row>
        <row r="395">
          <cell r="A395" t="str">
            <v>TAMIL SELVI A/P KUPPUSAMY</v>
          </cell>
          <cell r="B395" t="str">
            <v>4 02402695</v>
          </cell>
          <cell r="C395">
            <v>39258</v>
          </cell>
          <cell r="D395" t="str">
            <v>WP LIVE</v>
          </cell>
          <cell r="E395">
            <v>41129</v>
          </cell>
          <cell r="F395" t="str">
            <v>TIER 1</v>
          </cell>
          <cell r="G395" t="str">
            <v>SKILLED</v>
          </cell>
          <cell r="H395">
            <v>180</v>
          </cell>
          <cell r="I395">
            <v>39258</v>
          </cell>
        </row>
        <row r="396">
          <cell r="A396" t="str">
            <v>TAN KAI SIN</v>
          </cell>
          <cell r="B396" t="str">
            <v>4 03172936</v>
          </cell>
          <cell r="C396">
            <v>40028</v>
          </cell>
          <cell r="D396" t="str">
            <v>WP LIVE</v>
          </cell>
          <cell r="E396">
            <v>40772</v>
          </cell>
          <cell r="F396" t="str">
            <v>TIER 1</v>
          </cell>
          <cell r="G396" t="str">
            <v>SKILLED</v>
          </cell>
          <cell r="H396">
            <v>180</v>
          </cell>
          <cell r="I396">
            <v>40028</v>
          </cell>
        </row>
        <row r="397">
          <cell r="A397" t="str">
            <v>TAN SIEW TING</v>
          </cell>
          <cell r="B397" t="str">
            <v>5 30264866</v>
          </cell>
          <cell r="C397">
            <v>35511</v>
          </cell>
          <cell r="D397" t="str">
            <v>WP LIVE</v>
          </cell>
          <cell r="E397">
            <v>40961</v>
          </cell>
          <cell r="F397" t="str">
            <v>TIER 1</v>
          </cell>
          <cell r="G397" t="str">
            <v>SKILLED</v>
          </cell>
          <cell r="H397">
            <v>180</v>
          </cell>
          <cell r="I397">
            <v>35511</v>
          </cell>
        </row>
        <row r="398">
          <cell r="A398" t="str">
            <v>TANG MAO XIA</v>
          </cell>
          <cell r="B398" t="str">
            <v>0 72011503</v>
          </cell>
          <cell r="C398">
            <v>39402</v>
          </cell>
          <cell r="D398" t="str">
            <v>WP LIVE</v>
          </cell>
          <cell r="E398">
            <v>41215</v>
          </cell>
          <cell r="F398" t="str">
            <v>TIER 1</v>
          </cell>
          <cell r="G398" t="str">
            <v>SKILLED</v>
          </cell>
          <cell r="H398">
            <v>180</v>
          </cell>
          <cell r="I398">
            <v>39402</v>
          </cell>
        </row>
        <row r="399">
          <cell r="A399" t="str">
            <v>TAY BEE CHEW</v>
          </cell>
          <cell r="B399" t="str">
            <v>3 49294354</v>
          </cell>
          <cell r="C399">
            <v>36508</v>
          </cell>
          <cell r="D399" t="str">
            <v>WP LIVE</v>
          </cell>
          <cell r="E399">
            <v>40912</v>
          </cell>
          <cell r="F399" t="str">
            <v>TIER 1</v>
          </cell>
          <cell r="G399" t="str">
            <v>UNSKILLED</v>
          </cell>
          <cell r="H399">
            <v>280</v>
          </cell>
          <cell r="I399">
            <v>36508</v>
          </cell>
        </row>
        <row r="400">
          <cell r="A400" t="str">
            <v>TEH KOK EN</v>
          </cell>
          <cell r="B400" t="str">
            <v>5 15032517</v>
          </cell>
          <cell r="C400">
            <v>40238</v>
          </cell>
          <cell r="D400" t="str">
            <v>WP LIVE</v>
          </cell>
          <cell r="E400">
            <v>40983</v>
          </cell>
          <cell r="F400" t="str">
            <v>TIER 1</v>
          </cell>
          <cell r="G400" t="str">
            <v>SKILLED</v>
          </cell>
          <cell r="H400">
            <v>180</v>
          </cell>
          <cell r="I400">
            <v>40238</v>
          </cell>
        </row>
        <row r="401">
          <cell r="A401" t="str">
            <v>TEIKENG MALONGGIN</v>
          </cell>
          <cell r="B401" t="str">
            <v>4 03131679</v>
          </cell>
          <cell r="C401">
            <v>40051</v>
          </cell>
          <cell r="D401" t="str">
            <v>WP LIVE</v>
          </cell>
          <cell r="E401">
            <v>40789</v>
          </cell>
          <cell r="F401" t="str">
            <v>TIER 1</v>
          </cell>
          <cell r="G401" t="str">
            <v>SKILLED</v>
          </cell>
          <cell r="H401">
            <v>180</v>
          </cell>
          <cell r="I401">
            <v>40051</v>
          </cell>
        </row>
        <row r="402">
          <cell r="A402" t="str">
            <v>THAMARACHELVI A/P GOVINDASAMY</v>
          </cell>
          <cell r="B402" t="str">
            <v>3 74589121</v>
          </cell>
          <cell r="C402">
            <v>35706</v>
          </cell>
          <cell r="D402" t="str">
            <v>WP LIVE</v>
          </cell>
          <cell r="E402">
            <v>41133</v>
          </cell>
          <cell r="F402" t="str">
            <v>TIER 1</v>
          </cell>
          <cell r="G402" t="str">
            <v>UNSKILLED</v>
          </cell>
          <cell r="H402">
            <v>280</v>
          </cell>
          <cell r="I402">
            <v>40422</v>
          </cell>
        </row>
        <row r="403">
          <cell r="A403" t="str">
            <v>THANAM A/P RAJAGOPAL</v>
          </cell>
          <cell r="B403" t="str">
            <v>4 00354812</v>
          </cell>
          <cell r="C403">
            <v>39160</v>
          </cell>
          <cell r="D403" t="str">
            <v>WP LIVE</v>
          </cell>
          <cell r="E403">
            <v>40880</v>
          </cell>
          <cell r="F403" t="str">
            <v>TIER 1</v>
          </cell>
          <cell r="G403" t="str">
            <v>SKILLED</v>
          </cell>
          <cell r="H403">
            <v>180</v>
          </cell>
          <cell r="I403">
            <v>39160</v>
          </cell>
        </row>
        <row r="404">
          <cell r="A404" t="str">
            <v>THANAVALLI A/P S MANIAM</v>
          </cell>
          <cell r="B404" t="str">
            <v>5 28970400</v>
          </cell>
          <cell r="C404">
            <v>38286</v>
          </cell>
          <cell r="D404" t="str">
            <v>WP LIVE</v>
          </cell>
          <cell r="E404">
            <v>41312</v>
          </cell>
          <cell r="F404" t="str">
            <v>TIER 1</v>
          </cell>
          <cell r="G404" t="str">
            <v>UNSKILLED</v>
          </cell>
          <cell r="H404">
            <v>280</v>
          </cell>
          <cell r="I404">
            <v>38286</v>
          </cell>
        </row>
        <row r="405">
          <cell r="A405" t="str">
            <v>THEIVANAY A/P MANIAM</v>
          </cell>
          <cell r="B405" t="str">
            <v>4 00880336</v>
          </cell>
          <cell r="C405">
            <v>39895</v>
          </cell>
          <cell r="D405" t="str">
            <v>WP LIVE</v>
          </cell>
          <cell r="E405">
            <v>41294</v>
          </cell>
          <cell r="F405" t="str">
            <v>TIER 1</v>
          </cell>
          <cell r="G405" t="str">
            <v>SKILLED</v>
          </cell>
          <cell r="H405">
            <v>180</v>
          </cell>
          <cell r="I405">
            <v>39895</v>
          </cell>
        </row>
        <row r="406">
          <cell r="A406" t="str">
            <v>THELAGAVATHEE A/P T AVADYAR</v>
          </cell>
          <cell r="B406" t="str">
            <v>5 20921044</v>
          </cell>
          <cell r="C406">
            <v>38420</v>
          </cell>
          <cell r="D406" t="str">
            <v>WP LIVE</v>
          </cell>
          <cell r="E406">
            <v>40913</v>
          </cell>
          <cell r="F406" t="str">
            <v>TIER 1</v>
          </cell>
          <cell r="G406" t="str">
            <v>UNSKILLED</v>
          </cell>
          <cell r="H406">
            <v>280</v>
          </cell>
          <cell r="I406">
            <v>38420</v>
          </cell>
        </row>
        <row r="407">
          <cell r="A407" t="str">
            <v>THEN HONG YONG</v>
          </cell>
          <cell r="B407" t="str">
            <v>4 02044632</v>
          </cell>
          <cell r="C407">
            <v>40416</v>
          </cell>
          <cell r="D407" t="str">
            <v>WP LIVE</v>
          </cell>
          <cell r="E407">
            <v>41154</v>
          </cell>
          <cell r="F407" t="str">
            <v>TIER 1</v>
          </cell>
          <cell r="G407" t="str">
            <v>SKILLED</v>
          </cell>
          <cell r="H407">
            <v>180</v>
          </cell>
          <cell r="I407">
            <v>40725</v>
          </cell>
        </row>
        <row r="408">
          <cell r="A408" t="str">
            <v>THING SU KHEE</v>
          </cell>
          <cell r="B408" t="str">
            <v>4 02496789</v>
          </cell>
          <cell r="C408">
            <v>40424</v>
          </cell>
          <cell r="D408" t="str">
            <v>WP LIVE</v>
          </cell>
          <cell r="E408">
            <v>40948</v>
          </cell>
          <cell r="F408" t="str">
            <v>TIER 1</v>
          </cell>
          <cell r="G408" t="str">
            <v>SKILLED</v>
          </cell>
          <cell r="H408">
            <v>180</v>
          </cell>
          <cell r="I408">
            <v>40725</v>
          </cell>
        </row>
        <row r="409">
          <cell r="A409" t="str">
            <v>TI SHAY FOON</v>
          </cell>
          <cell r="B409" t="str">
            <v>4 03000523</v>
          </cell>
          <cell r="C409">
            <v>39701</v>
          </cell>
          <cell r="D409" t="str">
            <v>WP LIVE</v>
          </cell>
          <cell r="E409">
            <v>40831</v>
          </cell>
          <cell r="F409" t="str">
            <v>TIER 1</v>
          </cell>
          <cell r="G409" t="str">
            <v>SKILLED</v>
          </cell>
          <cell r="H409">
            <v>180</v>
          </cell>
          <cell r="I409">
            <v>39701</v>
          </cell>
        </row>
        <row r="410">
          <cell r="A410" t="str">
            <v>TIMBANG ANAK JARAU</v>
          </cell>
          <cell r="B410" t="str">
            <v>4 02359463</v>
          </cell>
          <cell r="C410">
            <v>39077</v>
          </cell>
          <cell r="D410" t="str">
            <v>WP LIVE</v>
          </cell>
          <cell r="E410">
            <v>40866</v>
          </cell>
          <cell r="F410" t="str">
            <v>TIER 1</v>
          </cell>
          <cell r="G410" t="str">
            <v>SKILLED</v>
          </cell>
          <cell r="H410">
            <v>180</v>
          </cell>
          <cell r="I410">
            <v>39077</v>
          </cell>
        </row>
        <row r="411">
          <cell r="A411" t="str">
            <v>TIMOTHY RAJ A/L MICHEAL</v>
          </cell>
          <cell r="B411" t="str">
            <v>4 03657611</v>
          </cell>
          <cell r="C411">
            <v>40588</v>
          </cell>
          <cell r="D411" t="str">
            <v>WP LIVE</v>
          </cell>
          <cell r="E411">
            <v>41253</v>
          </cell>
          <cell r="F411" t="str">
            <v>TIER 1</v>
          </cell>
          <cell r="G411" t="str">
            <v>SKILLED</v>
          </cell>
          <cell r="H411">
            <v>180</v>
          </cell>
          <cell r="I411">
            <v>40588</v>
          </cell>
        </row>
        <row r="412">
          <cell r="A412" t="str">
            <v>UMA DEVI A/P BALAKRISHNAN</v>
          </cell>
          <cell r="B412" t="str">
            <v>5 23662104</v>
          </cell>
          <cell r="C412">
            <v>39860</v>
          </cell>
          <cell r="D412" t="str">
            <v>WP LIVE</v>
          </cell>
          <cell r="E412">
            <v>41330</v>
          </cell>
          <cell r="F412" t="str">
            <v>TIER 1</v>
          </cell>
          <cell r="G412" t="str">
            <v>SKILLED</v>
          </cell>
          <cell r="H412">
            <v>180</v>
          </cell>
          <cell r="I412">
            <v>39860</v>
          </cell>
        </row>
        <row r="413">
          <cell r="A413" t="str">
            <v>UMADEVI A/P ETHIRAJ</v>
          </cell>
          <cell r="B413" t="str">
            <v>3 73286257</v>
          </cell>
          <cell r="C413">
            <v>38187</v>
          </cell>
          <cell r="D413" t="str">
            <v>WP LIVE</v>
          </cell>
          <cell r="E413">
            <v>41133</v>
          </cell>
          <cell r="F413" t="str">
            <v>TIER 1</v>
          </cell>
          <cell r="G413" t="str">
            <v>UNSKILLED</v>
          </cell>
          <cell r="H413">
            <v>280</v>
          </cell>
          <cell r="I413">
            <v>38187</v>
          </cell>
        </row>
        <row r="414">
          <cell r="A414" t="str">
            <v>USHA A/P MUNIANDY</v>
          </cell>
          <cell r="B414" t="str">
            <v>4 0378110-</v>
          </cell>
          <cell r="C414">
            <v>40675</v>
          </cell>
          <cell r="D414" t="str">
            <v>WP LIVE</v>
          </cell>
          <cell r="E414">
            <v>41370</v>
          </cell>
          <cell r="F414" t="str">
            <v>TIER 1</v>
          </cell>
          <cell r="G414" t="str">
            <v>SKILLED</v>
          </cell>
          <cell r="H414">
            <v>180</v>
          </cell>
          <cell r="I414">
            <v>40675</v>
          </cell>
        </row>
        <row r="415">
          <cell r="A415" t="str">
            <v>UTHAYAKUMAR A/L PARSARAMY</v>
          </cell>
          <cell r="B415" t="str">
            <v>4 01939415</v>
          </cell>
          <cell r="C415">
            <v>40479</v>
          </cell>
          <cell r="D415" t="str">
            <v>WP LIVE</v>
          </cell>
          <cell r="E415">
            <v>41228</v>
          </cell>
          <cell r="F415" t="str">
            <v>TIER 1</v>
          </cell>
          <cell r="G415" t="str">
            <v>SKILLED</v>
          </cell>
          <cell r="H415">
            <v>180</v>
          </cell>
          <cell r="I415">
            <v>40725</v>
          </cell>
        </row>
        <row r="416">
          <cell r="A416" t="str">
            <v>V KULA DEVI A/P VELU</v>
          </cell>
          <cell r="B416" t="str">
            <v>5 13301146</v>
          </cell>
          <cell r="C416">
            <v>39342</v>
          </cell>
          <cell r="D416" t="str">
            <v>WP LIVE</v>
          </cell>
          <cell r="E416">
            <v>40817</v>
          </cell>
          <cell r="F416" t="str">
            <v>TIER 1</v>
          </cell>
          <cell r="G416" t="str">
            <v>SKILLED</v>
          </cell>
          <cell r="H416">
            <v>180</v>
          </cell>
          <cell r="I416">
            <v>39342</v>
          </cell>
        </row>
        <row r="417">
          <cell r="A417" t="str">
            <v>VALIAMMAH A/P ANGGAPAN</v>
          </cell>
          <cell r="B417" t="str">
            <v>5 3840876-</v>
          </cell>
          <cell r="C417">
            <v>35856</v>
          </cell>
          <cell r="D417" t="str">
            <v>WP LIVE</v>
          </cell>
          <cell r="E417">
            <v>41176</v>
          </cell>
          <cell r="F417" t="str">
            <v>TIER 1</v>
          </cell>
          <cell r="G417" t="str">
            <v>UNSKILLED</v>
          </cell>
          <cell r="H417">
            <v>280</v>
          </cell>
          <cell r="I417">
            <v>35856</v>
          </cell>
        </row>
        <row r="418">
          <cell r="A418" t="str">
            <v>VASANTHY A/P MANIAM</v>
          </cell>
          <cell r="B418" t="str">
            <v>4 00413290</v>
          </cell>
          <cell r="C418">
            <v>37792</v>
          </cell>
          <cell r="D418" t="str">
            <v>WP LIVE</v>
          </cell>
          <cell r="E418">
            <v>40738</v>
          </cell>
          <cell r="F418" t="str">
            <v>TIER 1</v>
          </cell>
          <cell r="G418" t="str">
            <v>UNSKILLED</v>
          </cell>
          <cell r="H418">
            <v>280</v>
          </cell>
          <cell r="I418">
            <v>37792</v>
          </cell>
        </row>
        <row r="419">
          <cell r="A419" t="str">
            <v>VASANTHY A/P PERUMAL</v>
          </cell>
          <cell r="B419" t="str">
            <v>4 03754684</v>
          </cell>
          <cell r="C419">
            <v>40654</v>
          </cell>
          <cell r="D419" t="str">
            <v>WP LIVE</v>
          </cell>
          <cell r="E419">
            <v>41399</v>
          </cell>
          <cell r="F419" t="str">
            <v>TIER 1</v>
          </cell>
          <cell r="G419" t="str">
            <v>SKILLED</v>
          </cell>
          <cell r="H419">
            <v>180</v>
          </cell>
          <cell r="I419">
            <v>40725</v>
          </cell>
        </row>
        <row r="420">
          <cell r="A420" t="str">
            <v>VAYAPURI MOOKAN</v>
          </cell>
          <cell r="B420" t="str">
            <v>3 67998482</v>
          </cell>
          <cell r="C420">
            <v>37068</v>
          </cell>
          <cell r="D420" t="str">
            <v>WP LIVE</v>
          </cell>
          <cell r="E420">
            <v>41358</v>
          </cell>
          <cell r="F420" t="str">
            <v>TIER 1</v>
          </cell>
          <cell r="G420" t="str">
            <v>SKILLED</v>
          </cell>
          <cell r="H420">
            <v>180</v>
          </cell>
          <cell r="I420">
            <v>37068</v>
          </cell>
        </row>
        <row r="421">
          <cell r="A421" t="str">
            <v>VEATHA A/P SUBBRAMANIAN</v>
          </cell>
          <cell r="B421" t="str">
            <v>4 03446203</v>
          </cell>
          <cell r="C421">
            <v>40332</v>
          </cell>
          <cell r="D421" t="str">
            <v>WP LIVE</v>
          </cell>
          <cell r="E421">
            <v>40994</v>
          </cell>
          <cell r="F421" t="str">
            <v>TIER 1</v>
          </cell>
          <cell r="G421" t="str">
            <v>SKILLED</v>
          </cell>
          <cell r="H421">
            <v>180</v>
          </cell>
          <cell r="I421">
            <v>40332</v>
          </cell>
        </row>
        <row r="422">
          <cell r="A422" t="str">
            <v>VENI A/P GOVINDAN</v>
          </cell>
          <cell r="B422" t="str">
            <v>4 00249156</v>
          </cell>
          <cell r="C422">
            <v>40728</v>
          </cell>
          <cell r="D422" t="str">
            <v>WP APPROVED</v>
          </cell>
          <cell r="F422" t="str">
            <v>TIER 1</v>
          </cell>
          <cell r="G422" t="str">
            <v>UNSKILLED</v>
          </cell>
          <cell r="H422">
            <v>280</v>
          </cell>
          <cell r="I422">
            <v>40728</v>
          </cell>
        </row>
        <row r="423">
          <cell r="A423" t="str">
            <v>VERONICA A/P DAVID</v>
          </cell>
          <cell r="B423" t="str">
            <v>4 03109770</v>
          </cell>
          <cell r="C423">
            <v>39918</v>
          </cell>
          <cell r="D423" t="str">
            <v>WP LIVE</v>
          </cell>
          <cell r="E423">
            <v>41408</v>
          </cell>
          <cell r="F423" t="str">
            <v>TIER 1</v>
          </cell>
          <cell r="G423" t="str">
            <v>SKILLED</v>
          </cell>
          <cell r="H423">
            <v>180</v>
          </cell>
          <cell r="I423">
            <v>39934</v>
          </cell>
        </row>
        <row r="424">
          <cell r="A424" t="str">
            <v>VIGENAS A/P JOSEPH PERERA</v>
          </cell>
          <cell r="B424" t="str">
            <v>4 03841226</v>
          </cell>
          <cell r="C424">
            <v>40725</v>
          </cell>
          <cell r="D424" t="str">
            <v>WP APPROVED</v>
          </cell>
          <cell r="F424" t="str">
            <v>TIER 1</v>
          </cell>
          <cell r="G424" t="str">
            <v>UNSKILLED</v>
          </cell>
          <cell r="H424">
            <v>280</v>
          </cell>
          <cell r="I424">
            <v>40725</v>
          </cell>
        </row>
        <row r="425">
          <cell r="A425" t="str">
            <v>VIGNESWARI A/P PENTIAH</v>
          </cell>
          <cell r="B425" t="str">
            <v>4 0295809-</v>
          </cell>
          <cell r="C425">
            <v>40380</v>
          </cell>
          <cell r="D425" t="str">
            <v>WP LIVE</v>
          </cell>
          <cell r="E425">
            <v>40927</v>
          </cell>
          <cell r="F425" t="str">
            <v>TIER 1</v>
          </cell>
          <cell r="G425" t="str">
            <v>SKILLED</v>
          </cell>
          <cell r="H425">
            <v>180</v>
          </cell>
          <cell r="I425">
            <v>40725</v>
          </cell>
        </row>
        <row r="426">
          <cell r="A426" t="str">
            <v>VIJACIAN A/L A VEERAMALAI</v>
          </cell>
          <cell r="B426" t="str">
            <v>3 62646170</v>
          </cell>
          <cell r="C426">
            <v>36635</v>
          </cell>
          <cell r="D426" t="str">
            <v>WP LIVE</v>
          </cell>
          <cell r="E426">
            <v>41005</v>
          </cell>
          <cell r="F426" t="str">
            <v>TIER 1</v>
          </cell>
          <cell r="G426" t="str">
            <v>UNSKILLED</v>
          </cell>
          <cell r="H426">
            <v>280</v>
          </cell>
          <cell r="I426">
            <v>36635</v>
          </cell>
        </row>
        <row r="427">
          <cell r="A427" t="str">
            <v>VIJAYA A/P SUBRAMANIAN</v>
          </cell>
          <cell r="B427" t="str">
            <v>5 15000887</v>
          </cell>
          <cell r="C427">
            <v>36159</v>
          </cell>
          <cell r="D427" t="str">
            <v>WP LIVE</v>
          </cell>
          <cell r="E427">
            <v>41014</v>
          </cell>
          <cell r="F427" t="str">
            <v>TIER 1</v>
          </cell>
          <cell r="G427" t="str">
            <v>SKILLED</v>
          </cell>
          <cell r="H427">
            <v>180</v>
          </cell>
          <cell r="I427">
            <v>36159</v>
          </cell>
        </row>
        <row r="428">
          <cell r="A428" t="str">
            <v>VIJAYA A/P VILLAN</v>
          </cell>
          <cell r="B428" t="str">
            <v>4 00628246</v>
          </cell>
          <cell r="C428">
            <v>36935</v>
          </cell>
          <cell r="D428" t="str">
            <v>WP LIVE</v>
          </cell>
          <cell r="E428">
            <v>41399</v>
          </cell>
          <cell r="F428" t="str">
            <v>TIER 1</v>
          </cell>
          <cell r="G428" t="str">
            <v>UNSKILLED</v>
          </cell>
          <cell r="H428">
            <v>280</v>
          </cell>
          <cell r="I428">
            <v>36935</v>
          </cell>
        </row>
        <row r="429">
          <cell r="A429" t="str">
            <v>VIJAYA KUMAR A/L RATANA VELLU</v>
          </cell>
          <cell r="B429" t="str">
            <v>4 03781045</v>
          </cell>
          <cell r="C429">
            <v>40675</v>
          </cell>
          <cell r="D429" t="str">
            <v>WP LIVE</v>
          </cell>
          <cell r="E429">
            <v>41323</v>
          </cell>
          <cell r="F429" t="str">
            <v>TIER 1</v>
          </cell>
          <cell r="G429" t="str">
            <v>SKILLED</v>
          </cell>
          <cell r="H429">
            <v>180</v>
          </cell>
          <cell r="I429">
            <v>40675</v>
          </cell>
        </row>
        <row r="430">
          <cell r="A430" t="str">
            <v>VIJAYA LETCHMI A/P KANGATHARAN</v>
          </cell>
          <cell r="B430" t="str">
            <v>5 34834837</v>
          </cell>
          <cell r="C430">
            <v>39979</v>
          </cell>
          <cell r="D430" t="str">
            <v>WP LIVE</v>
          </cell>
          <cell r="E430">
            <v>40730</v>
          </cell>
          <cell r="F430" t="str">
            <v>TIER 1</v>
          </cell>
          <cell r="G430" t="str">
            <v>SKILLED</v>
          </cell>
          <cell r="H430">
            <v>180</v>
          </cell>
          <cell r="I430">
            <v>39979</v>
          </cell>
        </row>
        <row r="431">
          <cell r="A431" t="str">
            <v>VIJAYAH A/P JOHN</v>
          </cell>
          <cell r="B431" t="str">
            <v>4 00697655</v>
          </cell>
          <cell r="C431">
            <v>40581</v>
          </cell>
          <cell r="D431" t="str">
            <v>WP LIVE</v>
          </cell>
          <cell r="E431">
            <v>41269</v>
          </cell>
          <cell r="F431" t="str">
            <v>TIER 1</v>
          </cell>
          <cell r="G431" t="str">
            <v>SKILLED</v>
          </cell>
          <cell r="H431">
            <v>180</v>
          </cell>
          <cell r="I431">
            <v>40581</v>
          </cell>
        </row>
        <row r="432">
          <cell r="A432" t="str">
            <v>VIJAYAKUMARAN A/L SELVADURAI</v>
          </cell>
          <cell r="B432" t="str">
            <v>4 0119911-</v>
          </cell>
          <cell r="C432">
            <v>40428</v>
          </cell>
          <cell r="D432" t="str">
            <v>WP LIVE</v>
          </cell>
          <cell r="E432">
            <v>41173</v>
          </cell>
          <cell r="F432" t="str">
            <v>TIER 1</v>
          </cell>
          <cell r="G432" t="str">
            <v>SKILLED</v>
          </cell>
          <cell r="H432">
            <v>180</v>
          </cell>
          <cell r="I432">
            <v>40428</v>
          </cell>
        </row>
        <row r="433">
          <cell r="A433" t="str">
            <v>VIJAYALETCHUMY A/P ARUNAKARY</v>
          </cell>
          <cell r="B433" t="str">
            <v>4 03676098</v>
          </cell>
          <cell r="C433">
            <v>40602</v>
          </cell>
          <cell r="D433" t="str">
            <v>WP LIVE</v>
          </cell>
          <cell r="E433">
            <v>41274</v>
          </cell>
          <cell r="F433" t="str">
            <v>TIER 1</v>
          </cell>
          <cell r="G433" t="str">
            <v>SKILLED</v>
          </cell>
          <cell r="H433">
            <v>180</v>
          </cell>
          <cell r="I433">
            <v>40602</v>
          </cell>
        </row>
        <row r="434">
          <cell r="A434" t="str">
            <v>VIJAYAN A/L M SUPPIAH</v>
          </cell>
          <cell r="B434" t="str">
            <v>5 11165342</v>
          </cell>
          <cell r="C434">
            <v>36269</v>
          </cell>
          <cell r="D434" t="str">
            <v>WP LIVE</v>
          </cell>
          <cell r="E434">
            <v>41340</v>
          </cell>
          <cell r="F434" t="str">
            <v>TIER 1</v>
          </cell>
          <cell r="G434" t="str">
            <v>UNSKILLED</v>
          </cell>
          <cell r="H434">
            <v>280</v>
          </cell>
          <cell r="I434">
            <v>36269</v>
          </cell>
        </row>
        <row r="435">
          <cell r="A435" t="str">
            <v>VIKNESWARY A/P RAJOO</v>
          </cell>
          <cell r="B435" t="str">
            <v>4 03031682</v>
          </cell>
          <cell r="C435">
            <v>39752</v>
          </cell>
          <cell r="D435" t="str">
            <v>WP LIVE</v>
          </cell>
          <cell r="E435">
            <v>41230</v>
          </cell>
          <cell r="F435" t="str">
            <v>TIER 1</v>
          </cell>
          <cell r="G435" t="str">
            <v>SKILLED</v>
          </cell>
          <cell r="H435">
            <v>180</v>
          </cell>
          <cell r="I435">
            <v>39752</v>
          </cell>
        </row>
        <row r="436">
          <cell r="A436" t="str">
            <v>VIMALA DEVI A/P SUBRIAN RAMALINGAM</v>
          </cell>
          <cell r="B436" t="str">
            <v>5 06420113</v>
          </cell>
          <cell r="C436">
            <v>40312</v>
          </cell>
          <cell r="D436" t="str">
            <v>WP LIVE</v>
          </cell>
          <cell r="E436">
            <v>40974</v>
          </cell>
          <cell r="F436" t="str">
            <v>TIER 1</v>
          </cell>
          <cell r="G436" t="str">
            <v>SKILLED</v>
          </cell>
          <cell r="H436">
            <v>180</v>
          </cell>
          <cell r="I436">
            <v>40312</v>
          </cell>
        </row>
        <row r="437">
          <cell r="A437" t="str">
            <v>WANG CHUNYU</v>
          </cell>
          <cell r="B437" t="str">
            <v>0 72365259</v>
          </cell>
          <cell r="C437">
            <v>39539</v>
          </cell>
          <cell r="D437" t="str">
            <v>WP LIVE</v>
          </cell>
          <cell r="E437">
            <v>41000</v>
          </cell>
          <cell r="F437" t="str">
            <v>TIER 1</v>
          </cell>
          <cell r="G437" t="str">
            <v>SKILLED</v>
          </cell>
          <cell r="H437">
            <v>180</v>
          </cell>
          <cell r="I437">
            <v>40299</v>
          </cell>
        </row>
        <row r="438">
          <cell r="A438" t="str">
            <v>WANG DONG QIN</v>
          </cell>
          <cell r="B438" t="str">
            <v>0 72254546</v>
          </cell>
          <cell r="C438">
            <v>39500</v>
          </cell>
          <cell r="D438" t="str">
            <v>WP LIVE</v>
          </cell>
          <cell r="E438">
            <v>40962</v>
          </cell>
          <cell r="F438" t="str">
            <v>TIER 1</v>
          </cell>
          <cell r="G438" t="str">
            <v>SKILLED</v>
          </cell>
          <cell r="H438">
            <v>180</v>
          </cell>
          <cell r="I438">
            <v>39569</v>
          </cell>
        </row>
        <row r="439">
          <cell r="A439" t="str">
            <v>WANG FENG</v>
          </cell>
          <cell r="B439" t="str">
            <v>0 72536169</v>
          </cell>
          <cell r="C439">
            <v>39918</v>
          </cell>
          <cell r="D439" t="str">
            <v>WP LIVE</v>
          </cell>
          <cell r="E439">
            <v>41014</v>
          </cell>
          <cell r="F439" t="str">
            <v>TIER 1</v>
          </cell>
          <cell r="G439" t="str">
            <v>SKILLED</v>
          </cell>
          <cell r="H439">
            <v>180</v>
          </cell>
          <cell r="I439">
            <v>39918</v>
          </cell>
        </row>
        <row r="440">
          <cell r="A440" t="str">
            <v>WANG GENRONG</v>
          </cell>
          <cell r="B440" t="str">
            <v>0 56752722</v>
          </cell>
          <cell r="C440">
            <v>38300</v>
          </cell>
          <cell r="D440" t="str">
            <v>WP LIVE</v>
          </cell>
          <cell r="E440">
            <v>41236</v>
          </cell>
          <cell r="F440" t="str">
            <v>TIER 1</v>
          </cell>
          <cell r="G440" t="str">
            <v>UNSKILLED</v>
          </cell>
          <cell r="H440">
            <v>280</v>
          </cell>
          <cell r="I440">
            <v>38300</v>
          </cell>
        </row>
        <row r="441">
          <cell r="A441" t="str">
            <v>WANG HONG</v>
          </cell>
          <cell r="B441" t="str">
            <v>0 72356241</v>
          </cell>
          <cell r="C441">
            <v>39534</v>
          </cell>
          <cell r="D441" t="str">
            <v>WP LIVE</v>
          </cell>
          <cell r="E441">
            <v>40997</v>
          </cell>
          <cell r="F441" t="str">
            <v>TIER 1</v>
          </cell>
          <cell r="G441" t="str">
            <v>SKILLED</v>
          </cell>
          <cell r="H441">
            <v>180</v>
          </cell>
          <cell r="I441">
            <v>40269</v>
          </cell>
        </row>
        <row r="442">
          <cell r="A442" t="str">
            <v>WANG HUIJUAN</v>
          </cell>
          <cell r="B442" t="str">
            <v>0 72353285</v>
          </cell>
          <cell r="C442">
            <v>39534</v>
          </cell>
          <cell r="D442" t="str">
            <v>WP LIVE</v>
          </cell>
          <cell r="E442">
            <v>40997</v>
          </cell>
          <cell r="F442" t="str">
            <v>TIER 1</v>
          </cell>
          <cell r="G442" t="str">
            <v>SKILLED</v>
          </cell>
          <cell r="H442">
            <v>180</v>
          </cell>
          <cell r="I442">
            <v>40269</v>
          </cell>
        </row>
        <row r="443">
          <cell r="A443" t="str">
            <v>WANG JINREN</v>
          </cell>
          <cell r="B443" t="str">
            <v>0 72565479</v>
          </cell>
          <cell r="C443">
            <v>39918</v>
          </cell>
          <cell r="D443" t="str">
            <v>WP LIVE</v>
          </cell>
          <cell r="E443">
            <v>40775</v>
          </cell>
          <cell r="F443" t="str">
            <v>TIER 1</v>
          </cell>
          <cell r="G443" t="str">
            <v>SKILLED</v>
          </cell>
          <cell r="H443">
            <v>180</v>
          </cell>
          <cell r="I443">
            <v>39995</v>
          </cell>
        </row>
        <row r="444">
          <cell r="A444" t="str">
            <v>WANG JINZHONG</v>
          </cell>
          <cell r="B444" t="str">
            <v>0 72518608</v>
          </cell>
          <cell r="C444">
            <v>39918</v>
          </cell>
          <cell r="D444" t="str">
            <v>WP LIVE</v>
          </cell>
          <cell r="E444">
            <v>41014</v>
          </cell>
          <cell r="F444" t="str">
            <v>TIER 1</v>
          </cell>
          <cell r="G444" t="str">
            <v>SKILLED</v>
          </cell>
          <cell r="H444">
            <v>180</v>
          </cell>
          <cell r="I444">
            <v>39995</v>
          </cell>
        </row>
        <row r="445">
          <cell r="A445" t="str">
            <v>WANG JUAN JUAN</v>
          </cell>
          <cell r="B445" t="str">
            <v>0 73246199</v>
          </cell>
          <cell r="C445">
            <v>39871</v>
          </cell>
          <cell r="D445" t="str">
            <v>WP LIVE</v>
          </cell>
          <cell r="E445">
            <v>41333</v>
          </cell>
          <cell r="F445" t="str">
            <v>TIER 1</v>
          </cell>
          <cell r="G445" t="str">
            <v>SKILLED</v>
          </cell>
          <cell r="H445">
            <v>180</v>
          </cell>
          <cell r="I445">
            <v>39995</v>
          </cell>
        </row>
        <row r="446">
          <cell r="A446" t="str">
            <v>WANG LI</v>
          </cell>
          <cell r="B446" t="str">
            <v>0 72161084</v>
          </cell>
          <cell r="C446">
            <v>39463</v>
          </cell>
          <cell r="D446" t="str">
            <v>WP LIVE</v>
          </cell>
          <cell r="E446">
            <v>40924</v>
          </cell>
          <cell r="F446" t="str">
            <v>TIER 1</v>
          </cell>
          <cell r="G446" t="str">
            <v>SKILLED</v>
          </cell>
          <cell r="H446">
            <v>180</v>
          </cell>
          <cell r="I446">
            <v>39463</v>
          </cell>
        </row>
        <row r="447">
          <cell r="A447" t="str">
            <v>WANG LIANCHOU</v>
          </cell>
          <cell r="B447" t="str">
            <v>0 56499342</v>
          </cell>
          <cell r="C447">
            <v>37691</v>
          </cell>
          <cell r="D447" t="str">
            <v>WP LIVE</v>
          </cell>
          <cell r="E447">
            <v>41430</v>
          </cell>
          <cell r="F447" t="str">
            <v>TIER 1</v>
          </cell>
          <cell r="G447" t="str">
            <v>UNSKILLED</v>
          </cell>
          <cell r="H447">
            <v>280</v>
          </cell>
          <cell r="I447">
            <v>37691</v>
          </cell>
        </row>
        <row r="448">
          <cell r="A448" t="str">
            <v>WANG LILING</v>
          </cell>
          <cell r="B448" t="str">
            <v>0 72603982</v>
          </cell>
          <cell r="C448">
            <v>39597</v>
          </cell>
          <cell r="D448" t="str">
            <v>WP LIVE</v>
          </cell>
          <cell r="E448">
            <v>41057</v>
          </cell>
          <cell r="F448" t="str">
            <v>TIER 1</v>
          </cell>
          <cell r="G448" t="str">
            <v>SKILLED</v>
          </cell>
          <cell r="H448">
            <v>180</v>
          </cell>
          <cell r="I448">
            <v>39597</v>
          </cell>
        </row>
        <row r="449">
          <cell r="A449" t="str">
            <v>WANG QIANG</v>
          </cell>
          <cell r="B449" t="str">
            <v>0 72458133</v>
          </cell>
          <cell r="C449">
            <v>39561</v>
          </cell>
          <cell r="D449" t="str">
            <v>WP LIVE</v>
          </cell>
          <cell r="E449">
            <v>41003</v>
          </cell>
          <cell r="F449" t="str">
            <v>TIER 1</v>
          </cell>
          <cell r="G449" t="str">
            <v>SKILLED</v>
          </cell>
          <cell r="H449">
            <v>180</v>
          </cell>
          <cell r="I449">
            <v>40299</v>
          </cell>
        </row>
        <row r="450">
          <cell r="A450" t="str">
            <v>WANG SHANFANG</v>
          </cell>
          <cell r="B450" t="str">
            <v>0 72239342</v>
          </cell>
          <cell r="C450">
            <v>39496</v>
          </cell>
          <cell r="D450" t="str">
            <v>WP LIVE</v>
          </cell>
          <cell r="E450">
            <v>40956</v>
          </cell>
          <cell r="F450" t="str">
            <v>TIER 1</v>
          </cell>
          <cell r="G450" t="str">
            <v>SKILLED</v>
          </cell>
          <cell r="H450">
            <v>180</v>
          </cell>
          <cell r="I450">
            <v>39539</v>
          </cell>
        </row>
        <row r="451">
          <cell r="A451" t="str">
            <v>WANG WENFANG</v>
          </cell>
          <cell r="B451" t="str">
            <v>0 72621409</v>
          </cell>
          <cell r="C451">
            <v>39605</v>
          </cell>
          <cell r="D451" t="str">
            <v>WP LIVE</v>
          </cell>
          <cell r="E451">
            <v>41067</v>
          </cell>
          <cell r="F451" t="str">
            <v>TIER 1</v>
          </cell>
          <cell r="G451" t="str">
            <v>SKILLED</v>
          </cell>
          <cell r="H451">
            <v>180</v>
          </cell>
          <cell r="I451">
            <v>40725</v>
          </cell>
        </row>
        <row r="452">
          <cell r="A452" t="str">
            <v>WANG XIAN FENG</v>
          </cell>
          <cell r="B452" t="str">
            <v>0 73246202</v>
          </cell>
          <cell r="C452">
            <v>39871</v>
          </cell>
          <cell r="D452" t="str">
            <v>WP LIVE</v>
          </cell>
          <cell r="E452">
            <v>41333</v>
          </cell>
          <cell r="F452" t="str">
            <v>TIER 1</v>
          </cell>
          <cell r="G452" t="str">
            <v>SKILLED</v>
          </cell>
          <cell r="H452">
            <v>180</v>
          </cell>
          <cell r="I452">
            <v>39995</v>
          </cell>
        </row>
        <row r="453">
          <cell r="A453" t="str">
            <v>WANG XIAOPING</v>
          </cell>
          <cell r="B453" t="str">
            <v>0 72974077</v>
          </cell>
          <cell r="C453">
            <v>39918</v>
          </cell>
          <cell r="D453" t="str">
            <v>WP LIVE</v>
          </cell>
          <cell r="E453">
            <v>41014</v>
          </cell>
          <cell r="F453" t="str">
            <v>TIER 1</v>
          </cell>
          <cell r="G453" t="str">
            <v>SKILLED</v>
          </cell>
          <cell r="H453">
            <v>180</v>
          </cell>
          <cell r="I453">
            <v>39995</v>
          </cell>
        </row>
        <row r="454">
          <cell r="A454" t="str">
            <v>WANG XIUHUA</v>
          </cell>
          <cell r="B454" t="str">
            <v>0 72976223</v>
          </cell>
          <cell r="C454">
            <v>39728</v>
          </cell>
          <cell r="D454" t="str">
            <v>WP LIVE</v>
          </cell>
          <cell r="E454">
            <v>41189</v>
          </cell>
          <cell r="F454" t="str">
            <v>TIER 1</v>
          </cell>
          <cell r="G454" t="str">
            <v>SKILLED</v>
          </cell>
          <cell r="H454">
            <v>180</v>
          </cell>
          <cell r="I454">
            <v>40725</v>
          </cell>
        </row>
        <row r="455">
          <cell r="A455" t="str">
            <v>WANG YANGLONG</v>
          </cell>
          <cell r="B455" t="str">
            <v>0 73376610</v>
          </cell>
          <cell r="C455">
            <v>39946</v>
          </cell>
          <cell r="D455" t="str">
            <v>WP LIVE</v>
          </cell>
          <cell r="E455">
            <v>41399</v>
          </cell>
          <cell r="F455" t="str">
            <v>TIER 1</v>
          </cell>
          <cell r="G455" t="str">
            <v>SKILLED</v>
          </cell>
          <cell r="H455">
            <v>180</v>
          </cell>
          <cell r="I455">
            <v>39995</v>
          </cell>
        </row>
        <row r="456">
          <cell r="A456" t="str">
            <v>WANG YANLI</v>
          </cell>
          <cell r="B456" t="str">
            <v>0 72808258</v>
          </cell>
          <cell r="C456">
            <v>39665</v>
          </cell>
          <cell r="D456" t="str">
            <v>WP LIVE</v>
          </cell>
          <cell r="E456">
            <v>41125</v>
          </cell>
          <cell r="F456" t="str">
            <v>TIER 1</v>
          </cell>
          <cell r="G456" t="str">
            <v>SKILLED</v>
          </cell>
          <cell r="H456">
            <v>180</v>
          </cell>
          <cell r="I456">
            <v>39665</v>
          </cell>
        </row>
        <row r="457">
          <cell r="A457" t="str">
            <v>WANG YE BAO</v>
          </cell>
          <cell r="B457" t="str">
            <v>0 72207475</v>
          </cell>
          <cell r="C457">
            <v>39476</v>
          </cell>
          <cell r="D457" t="str">
            <v>WP LIVE</v>
          </cell>
          <cell r="E457">
            <v>40937</v>
          </cell>
          <cell r="F457" t="str">
            <v>TIER 1</v>
          </cell>
          <cell r="G457" t="str">
            <v>SKILLED</v>
          </cell>
          <cell r="H457">
            <v>180</v>
          </cell>
          <cell r="I457">
            <v>39539</v>
          </cell>
        </row>
        <row r="458">
          <cell r="A458" t="str">
            <v>WANG YUE HONG</v>
          </cell>
          <cell r="B458" t="str">
            <v>0 57850043</v>
          </cell>
          <cell r="C458">
            <v>39328</v>
          </cell>
          <cell r="D458" t="str">
            <v>WP LIVE</v>
          </cell>
          <cell r="E458">
            <v>40790</v>
          </cell>
          <cell r="F458" t="str">
            <v>TIER 1</v>
          </cell>
          <cell r="G458" t="str">
            <v>SKILLED</v>
          </cell>
          <cell r="H458">
            <v>180</v>
          </cell>
          <cell r="I458">
            <v>39356</v>
          </cell>
        </row>
        <row r="459">
          <cell r="A459" t="str">
            <v>WEI JUNLING</v>
          </cell>
          <cell r="B459" t="str">
            <v>0 72604121</v>
          </cell>
          <cell r="C459">
            <v>39597</v>
          </cell>
          <cell r="D459" t="str">
            <v>WP LIVE</v>
          </cell>
          <cell r="E459">
            <v>41057</v>
          </cell>
          <cell r="F459" t="str">
            <v>TIER 1</v>
          </cell>
          <cell r="G459" t="str">
            <v>SKILLED</v>
          </cell>
          <cell r="H459">
            <v>180</v>
          </cell>
          <cell r="I459">
            <v>40330</v>
          </cell>
        </row>
        <row r="460">
          <cell r="A460" t="str">
            <v>WINNA ANAK ANDI</v>
          </cell>
          <cell r="B460" t="str">
            <v>4 02314877</v>
          </cell>
          <cell r="C460">
            <v>39674</v>
          </cell>
          <cell r="D460" t="str">
            <v>WP LIVE</v>
          </cell>
          <cell r="E460">
            <v>40816</v>
          </cell>
          <cell r="F460" t="str">
            <v>TIER 1</v>
          </cell>
          <cell r="G460" t="str">
            <v>SKILLED</v>
          </cell>
          <cell r="H460">
            <v>180</v>
          </cell>
          <cell r="I460">
            <v>40422</v>
          </cell>
        </row>
        <row r="461">
          <cell r="A461" t="str">
            <v>WONG AH MOOI</v>
          </cell>
          <cell r="B461" t="str">
            <v>3 70715998</v>
          </cell>
          <cell r="C461">
            <v>39883</v>
          </cell>
          <cell r="D461" t="str">
            <v>WP LIVE</v>
          </cell>
          <cell r="E461">
            <v>41308</v>
          </cell>
          <cell r="F461" t="str">
            <v>TIER 1</v>
          </cell>
          <cell r="G461" t="str">
            <v>SKILLED</v>
          </cell>
          <cell r="H461">
            <v>180</v>
          </cell>
          <cell r="I461">
            <v>39883</v>
          </cell>
        </row>
        <row r="462">
          <cell r="A462" t="str">
            <v>WONG FOO FUI</v>
          </cell>
          <cell r="B462" t="str">
            <v>6 0006620-</v>
          </cell>
          <cell r="C462">
            <v>37582</v>
          </cell>
          <cell r="D462" t="str">
            <v>WP LIVE</v>
          </cell>
          <cell r="E462">
            <v>40985</v>
          </cell>
          <cell r="F462" t="str">
            <v>TIER 1</v>
          </cell>
          <cell r="G462" t="str">
            <v>UNSKILLED</v>
          </cell>
          <cell r="H462">
            <v>280</v>
          </cell>
          <cell r="I462">
            <v>37582</v>
          </cell>
        </row>
        <row r="463">
          <cell r="A463" t="str">
            <v>WONG MIN YUE</v>
          </cell>
          <cell r="B463" t="str">
            <v>3 47563242</v>
          </cell>
          <cell r="C463">
            <v>39890</v>
          </cell>
          <cell r="D463" t="str">
            <v>WP LIVE</v>
          </cell>
          <cell r="E463">
            <v>40964</v>
          </cell>
          <cell r="F463" t="str">
            <v>TIER 1</v>
          </cell>
          <cell r="G463" t="str">
            <v>SKILLED</v>
          </cell>
          <cell r="H463">
            <v>180</v>
          </cell>
          <cell r="I463">
            <v>39890</v>
          </cell>
        </row>
        <row r="464">
          <cell r="A464" t="str">
            <v>WONG NYOK YIN</v>
          </cell>
          <cell r="B464" t="str">
            <v>3 48740709</v>
          </cell>
          <cell r="C464">
            <v>37246</v>
          </cell>
          <cell r="D464" t="str">
            <v>WP LIVE</v>
          </cell>
          <cell r="E464">
            <v>40915</v>
          </cell>
          <cell r="F464" t="str">
            <v>TIER 1</v>
          </cell>
          <cell r="G464" t="str">
            <v>UNSKILLED</v>
          </cell>
          <cell r="H464">
            <v>280</v>
          </cell>
          <cell r="I464">
            <v>37246</v>
          </cell>
        </row>
        <row r="465">
          <cell r="A465" t="str">
            <v>WU CHAOYING</v>
          </cell>
          <cell r="B465" t="str">
            <v>0 72353544</v>
          </cell>
          <cell r="C465">
            <v>39534</v>
          </cell>
          <cell r="D465" t="str">
            <v>WP LIVE</v>
          </cell>
          <cell r="E465">
            <v>40997</v>
          </cell>
          <cell r="F465" t="str">
            <v>TIER 1</v>
          </cell>
          <cell r="G465" t="str">
            <v>SKILLED</v>
          </cell>
          <cell r="H465">
            <v>180</v>
          </cell>
          <cell r="I465">
            <v>40269</v>
          </cell>
        </row>
        <row r="466">
          <cell r="A466" t="str">
            <v>WU FUYING</v>
          </cell>
          <cell r="B466" t="str">
            <v>0 7256023-</v>
          </cell>
          <cell r="C466">
            <v>39918</v>
          </cell>
          <cell r="D466" t="str">
            <v>WP LIVE</v>
          </cell>
          <cell r="E466">
            <v>41014</v>
          </cell>
          <cell r="F466" t="str">
            <v>TIER 1</v>
          </cell>
          <cell r="G466" t="str">
            <v>SKILLED</v>
          </cell>
          <cell r="H466">
            <v>180</v>
          </cell>
          <cell r="I466">
            <v>39995</v>
          </cell>
        </row>
        <row r="467">
          <cell r="A467" t="str">
            <v>WU GUIYING</v>
          </cell>
          <cell r="B467" t="str">
            <v>0 72255712</v>
          </cell>
          <cell r="C467">
            <v>39501</v>
          </cell>
          <cell r="D467" t="str">
            <v>WP LIVE</v>
          </cell>
          <cell r="E467">
            <v>40962</v>
          </cell>
          <cell r="F467" t="str">
            <v>TIER 1</v>
          </cell>
          <cell r="G467" t="str">
            <v>SKILLED</v>
          </cell>
          <cell r="H467">
            <v>180</v>
          </cell>
          <cell r="I467">
            <v>39569</v>
          </cell>
        </row>
        <row r="468">
          <cell r="A468" t="str">
            <v>WU HONG MEI</v>
          </cell>
          <cell r="B468" t="str">
            <v>0 57850116</v>
          </cell>
          <cell r="C468">
            <v>39328</v>
          </cell>
          <cell r="D468" t="str">
            <v>WP LIVE</v>
          </cell>
          <cell r="E468">
            <v>40790</v>
          </cell>
          <cell r="F468" t="str">
            <v>TIER 1</v>
          </cell>
          <cell r="G468" t="str">
            <v>SKILLED</v>
          </cell>
          <cell r="H468">
            <v>180</v>
          </cell>
          <cell r="I468">
            <v>39356</v>
          </cell>
        </row>
        <row r="469">
          <cell r="A469" t="str">
            <v>WU XIAOQIN</v>
          </cell>
          <cell r="B469" t="str">
            <v>0 57815485</v>
          </cell>
          <cell r="C469">
            <v>39534</v>
          </cell>
          <cell r="D469" t="str">
            <v>WP LIVE</v>
          </cell>
          <cell r="E469">
            <v>40997</v>
          </cell>
          <cell r="F469" t="str">
            <v>TIER 1</v>
          </cell>
          <cell r="G469" t="str">
            <v>SKILLED</v>
          </cell>
          <cell r="H469">
            <v>180</v>
          </cell>
          <cell r="I469">
            <v>40269</v>
          </cell>
        </row>
        <row r="470">
          <cell r="A470" t="str">
            <v>WU YUHONG</v>
          </cell>
          <cell r="B470" t="str">
            <v>0 7262128-</v>
          </cell>
          <cell r="C470">
            <v>39605</v>
          </cell>
          <cell r="D470" t="str">
            <v>WP LIVE</v>
          </cell>
          <cell r="E470">
            <v>41067</v>
          </cell>
          <cell r="F470" t="str">
            <v>TIER 1</v>
          </cell>
          <cell r="G470" t="str">
            <v>SKILLED</v>
          </cell>
          <cell r="H470">
            <v>180</v>
          </cell>
          <cell r="I470">
            <v>40725</v>
          </cell>
        </row>
        <row r="471">
          <cell r="A471" t="str">
            <v>XIE LI HAI</v>
          </cell>
          <cell r="B471" t="str">
            <v>0 57850167</v>
          </cell>
          <cell r="C471">
            <v>39328</v>
          </cell>
          <cell r="D471" t="str">
            <v>WP LIVE</v>
          </cell>
          <cell r="E471">
            <v>40790</v>
          </cell>
          <cell r="F471" t="str">
            <v>TIER 1</v>
          </cell>
          <cell r="G471" t="str">
            <v>SKILLED</v>
          </cell>
          <cell r="H471">
            <v>180</v>
          </cell>
          <cell r="I471">
            <v>39328</v>
          </cell>
        </row>
        <row r="472">
          <cell r="A472" t="str">
            <v>XIE YUN E</v>
          </cell>
          <cell r="B472" t="str">
            <v>0 72160703</v>
          </cell>
          <cell r="C472">
            <v>39463</v>
          </cell>
          <cell r="D472" t="str">
            <v>WP LIVE</v>
          </cell>
          <cell r="E472">
            <v>40924</v>
          </cell>
          <cell r="F472" t="str">
            <v>TIER 1</v>
          </cell>
          <cell r="G472" t="str">
            <v>SKILLED</v>
          </cell>
          <cell r="H472">
            <v>180</v>
          </cell>
          <cell r="I472">
            <v>39463</v>
          </cell>
        </row>
        <row r="473">
          <cell r="A473" t="str">
            <v>XU CHUN LAN</v>
          </cell>
          <cell r="B473" t="str">
            <v>0 57840331</v>
          </cell>
          <cell r="C473">
            <v>39322</v>
          </cell>
          <cell r="D473" t="str">
            <v>WP LIVE</v>
          </cell>
          <cell r="E473">
            <v>40790</v>
          </cell>
          <cell r="F473" t="str">
            <v>TIER 1</v>
          </cell>
          <cell r="G473" t="str">
            <v>SKILLED</v>
          </cell>
          <cell r="H473">
            <v>180</v>
          </cell>
          <cell r="I473">
            <v>39356</v>
          </cell>
        </row>
        <row r="474">
          <cell r="A474" t="str">
            <v>XU CONGFEI</v>
          </cell>
          <cell r="B474" t="str">
            <v>0 72975987</v>
          </cell>
          <cell r="C474">
            <v>39728</v>
          </cell>
          <cell r="D474" t="str">
            <v>WP LIVE</v>
          </cell>
          <cell r="E474">
            <v>41187</v>
          </cell>
          <cell r="F474" t="str">
            <v>TIER 1</v>
          </cell>
          <cell r="G474" t="str">
            <v>SKILLED</v>
          </cell>
          <cell r="H474">
            <v>180</v>
          </cell>
          <cell r="I474">
            <v>39728</v>
          </cell>
        </row>
        <row r="475">
          <cell r="A475" t="str">
            <v>XU HONGWEI</v>
          </cell>
          <cell r="B475" t="str">
            <v>0 72192850</v>
          </cell>
          <cell r="C475">
            <v>39707</v>
          </cell>
          <cell r="D475" t="str">
            <v>WP LIVE</v>
          </cell>
          <cell r="E475">
            <v>41167</v>
          </cell>
          <cell r="F475" t="str">
            <v>TIER 1</v>
          </cell>
          <cell r="G475" t="str">
            <v>SKILLED</v>
          </cell>
          <cell r="H475">
            <v>180</v>
          </cell>
          <cell r="I475">
            <v>40452</v>
          </cell>
        </row>
        <row r="476">
          <cell r="A476" t="str">
            <v>XU JUAN</v>
          </cell>
          <cell r="B476" t="str">
            <v>0 72330358</v>
          </cell>
          <cell r="C476">
            <v>39526</v>
          </cell>
          <cell r="D476" t="str">
            <v>WP LIVE</v>
          </cell>
          <cell r="E476">
            <v>40972</v>
          </cell>
          <cell r="F476" t="str">
            <v>TIER 1</v>
          </cell>
          <cell r="G476" t="str">
            <v>SKILLED</v>
          </cell>
          <cell r="H476">
            <v>180</v>
          </cell>
          <cell r="I476">
            <v>39569</v>
          </cell>
        </row>
        <row r="477">
          <cell r="A477" t="str">
            <v>XU LING</v>
          </cell>
          <cell r="B477" t="str">
            <v>0 7235611-</v>
          </cell>
          <cell r="C477">
            <v>39534</v>
          </cell>
          <cell r="D477" t="str">
            <v>WP LIVE</v>
          </cell>
          <cell r="E477">
            <v>40997</v>
          </cell>
          <cell r="F477" t="str">
            <v>TIER 1</v>
          </cell>
          <cell r="G477" t="str">
            <v>SKILLED</v>
          </cell>
          <cell r="H477">
            <v>180</v>
          </cell>
          <cell r="I477">
            <v>40269</v>
          </cell>
        </row>
        <row r="478">
          <cell r="A478" t="str">
            <v>XU QINDE</v>
          </cell>
          <cell r="B478" t="str">
            <v>0 72288319</v>
          </cell>
          <cell r="C478">
            <v>39512</v>
          </cell>
          <cell r="D478" t="str">
            <v>WP LIVE</v>
          </cell>
          <cell r="E478">
            <v>40972</v>
          </cell>
          <cell r="F478" t="str">
            <v>TIER 1</v>
          </cell>
          <cell r="G478" t="str">
            <v>SKILLED</v>
          </cell>
          <cell r="H478">
            <v>180</v>
          </cell>
          <cell r="I478">
            <v>39995</v>
          </cell>
        </row>
        <row r="479">
          <cell r="A479" t="str">
            <v>XU XIAO LING</v>
          </cell>
          <cell r="B479" t="str">
            <v>0 57849703</v>
          </cell>
          <cell r="C479">
            <v>39328</v>
          </cell>
          <cell r="D479" t="str">
            <v>WP LIVE</v>
          </cell>
          <cell r="E479">
            <v>40790</v>
          </cell>
          <cell r="F479" t="str">
            <v>TIER 1</v>
          </cell>
          <cell r="G479" t="str">
            <v>SKILLED</v>
          </cell>
          <cell r="H479">
            <v>180</v>
          </cell>
          <cell r="I479">
            <v>39328</v>
          </cell>
        </row>
        <row r="480">
          <cell r="A480" t="str">
            <v>YAN JUN YING</v>
          </cell>
          <cell r="B480" t="str">
            <v>0 5770957-</v>
          </cell>
          <cell r="C480">
            <v>39259</v>
          </cell>
          <cell r="D480" t="str">
            <v>WP LIVE</v>
          </cell>
          <cell r="E480">
            <v>41434</v>
          </cell>
          <cell r="F480" t="str">
            <v>TIER 1</v>
          </cell>
          <cell r="G480" t="str">
            <v>SKILLED</v>
          </cell>
          <cell r="H480">
            <v>180</v>
          </cell>
          <cell r="I480">
            <v>39356</v>
          </cell>
        </row>
        <row r="481">
          <cell r="A481" t="str">
            <v>YAN ZHAO MING</v>
          </cell>
          <cell r="B481" t="str">
            <v>0 72206517</v>
          </cell>
          <cell r="C481">
            <v>39476</v>
          </cell>
          <cell r="D481" t="str">
            <v>WP LIVE</v>
          </cell>
          <cell r="E481">
            <v>40937</v>
          </cell>
          <cell r="F481" t="str">
            <v>TIER 1</v>
          </cell>
          <cell r="G481" t="str">
            <v>SKILLED</v>
          </cell>
          <cell r="H481">
            <v>180</v>
          </cell>
          <cell r="I481">
            <v>39476</v>
          </cell>
        </row>
        <row r="482">
          <cell r="A482" t="str">
            <v>YANG HONGJUAN</v>
          </cell>
          <cell r="B482" t="str">
            <v>0 72315316</v>
          </cell>
          <cell r="C482">
            <v>39521</v>
          </cell>
          <cell r="D482" t="str">
            <v>WP LIVE</v>
          </cell>
          <cell r="E482">
            <v>40972</v>
          </cell>
          <cell r="F482" t="str">
            <v>TIER 1</v>
          </cell>
          <cell r="G482" t="str">
            <v>SKILLED</v>
          </cell>
          <cell r="H482">
            <v>180</v>
          </cell>
          <cell r="I482">
            <v>40269</v>
          </cell>
        </row>
        <row r="483">
          <cell r="A483" t="str">
            <v>YANG LI</v>
          </cell>
          <cell r="B483" t="str">
            <v>0 72964217</v>
          </cell>
          <cell r="C483">
            <v>39720</v>
          </cell>
          <cell r="D483" t="str">
            <v>WP LIVE</v>
          </cell>
          <cell r="E483">
            <v>41167</v>
          </cell>
          <cell r="F483" t="str">
            <v>TIER 1</v>
          </cell>
          <cell r="G483" t="str">
            <v>SKILLED</v>
          </cell>
          <cell r="H483">
            <v>180</v>
          </cell>
          <cell r="I483">
            <v>39753</v>
          </cell>
        </row>
        <row r="484">
          <cell r="A484" t="str">
            <v>YANG SHIYING</v>
          </cell>
          <cell r="B484" t="str">
            <v>0 72255720</v>
          </cell>
          <cell r="C484">
            <v>39501</v>
          </cell>
          <cell r="D484" t="str">
            <v>WP LIVE</v>
          </cell>
          <cell r="E484">
            <v>41333</v>
          </cell>
          <cell r="F484" t="str">
            <v>TIER 1</v>
          </cell>
          <cell r="G484" t="str">
            <v>SKILLED</v>
          </cell>
          <cell r="H484">
            <v>180</v>
          </cell>
          <cell r="I484">
            <v>40634</v>
          </cell>
        </row>
        <row r="485">
          <cell r="A485" t="str">
            <v>YANG XIAOHONG</v>
          </cell>
          <cell r="B485" t="str">
            <v>0 7260346-</v>
          </cell>
          <cell r="C485">
            <v>39597</v>
          </cell>
          <cell r="D485" t="str">
            <v>WP LIVE</v>
          </cell>
          <cell r="E485">
            <v>41057</v>
          </cell>
          <cell r="F485" t="str">
            <v>TIER 1</v>
          </cell>
          <cell r="G485" t="str">
            <v>SKILLED</v>
          </cell>
          <cell r="H485">
            <v>180</v>
          </cell>
          <cell r="I485">
            <v>39597</v>
          </cell>
        </row>
        <row r="486">
          <cell r="A486" t="str">
            <v>YANG XIAOZHEN</v>
          </cell>
          <cell r="B486" t="str">
            <v>0 72315308</v>
          </cell>
          <cell r="C486">
            <v>39521</v>
          </cell>
          <cell r="D486" t="str">
            <v>WP LIVE</v>
          </cell>
          <cell r="E486">
            <v>40972</v>
          </cell>
          <cell r="F486" t="str">
            <v>TIER 1</v>
          </cell>
          <cell r="G486" t="str">
            <v>SKILLED</v>
          </cell>
          <cell r="H486">
            <v>180</v>
          </cell>
          <cell r="I486">
            <v>39661</v>
          </cell>
        </row>
        <row r="487">
          <cell r="A487" t="str">
            <v>YANG ZHIGUO</v>
          </cell>
          <cell r="B487" t="str">
            <v>0 72976231</v>
          </cell>
          <cell r="C487">
            <v>39728</v>
          </cell>
          <cell r="D487" t="str">
            <v>WP LIVE</v>
          </cell>
          <cell r="E487">
            <v>41189</v>
          </cell>
          <cell r="F487" t="str">
            <v>TIER 1</v>
          </cell>
          <cell r="G487" t="str">
            <v>SKILLED</v>
          </cell>
          <cell r="H487">
            <v>180</v>
          </cell>
          <cell r="I487">
            <v>40483</v>
          </cell>
        </row>
        <row r="488">
          <cell r="A488" t="str">
            <v>YAO XIAOFANG</v>
          </cell>
          <cell r="B488" t="str">
            <v>0 72603834</v>
          </cell>
          <cell r="C488">
            <v>39597</v>
          </cell>
          <cell r="D488" t="str">
            <v>WP LIVE</v>
          </cell>
          <cell r="E488">
            <v>41057</v>
          </cell>
          <cell r="F488" t="str">
            <v>TIER 1</v>
          </cell>
          <cell r="G488" t="str">
            <v>SKILLED</v>
          </cell>
          <cell r="H488">
            <v>180</v>
          </cell>
          <cell r="I488">
            <v>39597</v>
          </cell>
        </row>
        <row r="489">
          <cell r="A489" t="str">
            <v>YAO YU ZHU</v>
          </cell>
          <cell r="B489" t="str">
            <v>0 57986018</v>
          </cell>
          <cell r="C489">
            <v>39387</v>
          </cell>
          <cell r="D489" t="str">
            <v>WP LIVE</v>
          </cell>
          <cell r="E489">
            <v>40854</v>
          </cell>
          <cell r="F489" t="str">
            <v>TIER 1</v>
          </cell>
          <cell r="G489" t="str">
            <v>SKILLED</v>
          </cell>
          <cell r="H489">
            <v>180</v>
          </cell>
          <cell r="I489">
            <v>39387</v>
          </cell>
        </row>
        <row r="490">
          <cell r="A490" t="str">
            <v>YAU EIK CHIANG</v>
          </cell>
          <cell r="B490" t="str">
            <v>4 01061800</v>
          </cell>
          <cell r="C490">
            <v>37021</v>
          </cell>
          <cell r="D490" t="str">
            <v>WP LIVE</v>
          </cell>
          <cell r="E490">
            <v>41091</v>
          </cell>
          <cell r="F490" t="str">
            <v>TIER 1</v>
          </cell>
          <cell r="G490" t="str">
            <v>SKILLED</v>
          </cell>
          <cell r="H490">
            <v>180</v>
          </cell>
          <cell r="I490">
            <v>37021</v>
          </cell>
        </row>
        <row r="491">
          <cell r="A491" t="str">
            <v>YEAP CHEE KEONG</v>
          </cell>
          <cell r="B491" t="str">
            <v>4 03703303</v>
          </cell>
          <cell r="C491">
            <v>40618</v>
          </cell>
          <cell r="D491" t="str">
            <v>WP LIVE</v>
          </cell>
          <cell r="E491">
            <v>41299</v>
          </cell>
          <cell r="F491" t="str">
            <v>TIER 1</v>
          </cell>
          <cell r="G491" t="str">
            <v>SKILLED</v>
          </cell>
          <cell r="H491">
            <v>180</v>
          </cell>
          <cell r="I491">
            <v>40725</v>
          </cell>
        </row>
        <row r="492">
          <cell r="A492" t="str">
            <v>YIN HONGXIA</v>
          </cell>
          <cell r="B492" t="str">
            <v>0 72548698</v>
          </cell>
          <cell r="C492">
            <v>39918</v>
          </cell>
          <cell r="D492" t="str">
            <v>WP LIVE</v>
          </cell>
          <cell r="E492">
            <v>41014</v>
          </cell>
          <cell r="F492" t="str">
            <v>TIER 1</v>
          </cell>
          <cell r="G492" t="str">
            <v>SKILLED</v>
          </cell>
          <cell r="H492">
            <v>180</v>
          </cell>
          <cell r="I492">
            <v>39995</v>
          </cell>
        </row>
        <row r="493">
          <cell r="A493" t="str">
            <v>YIP CHOOI PING</v>
          </cell>
          <cell r="B493" t="str">
            <v>4 0166680-</v>
          </cell>
          <cell r="C493">
            <v>39723</v>
          </cell>
          <cell r="D493" t="str">
            <v>WP LIVE</v>
          </cell>
          <cell r="E493">
            <v>40845</v>
          </cell>
          <cell r="F493" t="str">
            <v>TIER 1</v>
          </cell>
          <cell r="G493" t="str">
            <v>SKILLED</v>
          </cell>
          <cell r="H493">
            <v>180</v>
          </cell>
          <cell r="I493">
            <v>39723</v>
          </cell>
        </row>
        <row r="494">
          <cell r="A494" t="str">
            <v>YOGESWARI A/P SELVAM</v>
          </cell>
          <cell r="B494" t="str">
            <v>5 09514771</v>
          </cell>
          <cell r="C494">
            <v>40109</v>
          </cell>
          <cell r="D494" t="str">
            <v>WP LIVE</v>
          </cell>
          <cell r="E494">
            <v>40849</v>
          </cell>
          <cell r="F494" t="str">
            <v>TIER 1</v>
          </cell>
          <cell r="G494" t="str">
            <v>SKILLED</v>
          </cell>
          <cell r="H494">
            <v>180</v>
          </cell>
          <cell r="I494">
            <v>40109</v>
          </cell>
        </row>
        <row r="495">
          <cell r="A495" t="str">
            <v>YONG YOKE LIN</v>
          </cell>
          <cell r="B495" t="str">
            <v>5 07662021</v>
          </cell>
          <cell r="C495">
            <v>36963</v>
          </cell>
          <cell r="D495" t="str">
            <v>WP LIVE</v>
          </cell>
          <cell r="E495">
            <v>41345</v>
          </cell>
          <cell r="F495" t="str">
            <v>TIER 1</v>
          </cell>
          <cell r="G495" t="str">
            <v>UNSKILLED</v>
          </cell>
          <cell r="H495">
            <v>280</v>
          </cell>
          <cell r="I495">
            <v>36963</v>
          </cell>
        </row>
        <row r="496">
          <cell r="A496" t="str">
            <v>YOONG PENG</v>
          </cell>
          <cell r="B496" t="str">
            <v>3 82142845</v>
          </cell>
          <cell r="C496">
            <v>40695</v>
          </cell>
          <cell r="D496" t="str">
            <v>WP LIVE</v>
          </cell>
          <cell r="E496">
            <v>41426</v>
          </cell>
          <cell r="F496" t="str">
            <v>TIER 1</v>
          </cell>
          <cell r="G496" t="str">
            <v>SKILLED</v>
          </cell>
          <cell r="H496">
            <v>180</v>
          </cell>
          <cell r="I496">
            <v>40695</v>
          </cell>
        </row>
        <row r="497">
          <cell r="A497" t="str">
            <v>YU QUN</v>
          </cell>
          <cell r="B497" t="str">
            <v>0 72058879</v>
          </cell>
          <cell r="C497">
            <v>39423</v>
          </cell>
          <cell r="D497" t="str">
            <v>WP LIVE</v>
          </cell>
          <cell r="E497">
            <v>41244</v>
          </cell>
          <cell r="F497" t="str">
            <v>TIER 1</v>
          </cell>
          <cell r="G497" t="str">
            <v>SKILLED</v>
          </cell>
          <cell r="H497">
            <v>180</v>
          </cell>
          <cell r="I497">
            <v>39508</v>
          </cell>
        </row>
        <row r="498">
          <cell r="A498" t="str">
            <v>YU SHUHONG</v>
          </cell>
          <cell r="B498" t="str">
            <v>0 7245491-</v>
          </cell>
          <cell r="C498">
            <v>39561</v>
          </cell>
          <cell r="D498" t="str">
            <v>WP LIVE</v>
          </cell>
          <cell r="E498">
            <v>40740</v>
          </cell>
          <cell r="F498" t="str">
            <v>TIER 1</v>
          </cell>
          <cell r="G498" t="str">
            <v>SKILLED</v>
          </cell>
          <cell r="H498">
            <v>180</v>
          </cell>
          <cell r="I498">
            <v>39561</v>
          </cell>
        </row>
        <row r="499">
          <cell r="A499" t="str">
            <v>YU SHULI</v>
          </cell>
          <cell r="B499" t="str">
            <v>0 73325404</v>
          </cell>
          <cell r="C499">
            <v>39917</v>
          </cell>
          <cell r="D499" t="str">
            <v>WP LIVE</v>
          </cell>
          <cell r="E499">
            <v>41370</v>
          </cell>
          <cell r="F499" t="str">
            <v>TIER 1</v>
          </cell>
          <cell r="G499" t="str">
            <v>SKILLED</v>
          </cell>
          <cell r="H499">
            <v>180</v>
          </cell>
          <cell r="I499">
            <v>39995</v>
          </cell>
        </row>
        <row r="500">
          <cell r="A500" t="str">
            <v>YU WANG QIN</v>
          </cell>
          <cell r="B500" t="str">
            <v>0 57849762</v>
          </cell>
          <cell r="C500">
            <v>39328</v>
          </cell>
          <cell r="D500" t="str">
            <v>WP LIVE</v>
          </cell>
          <cell r="E500">
            <v>40790</v>
          </cell>
          <cell r="F500" t="str">
            <v>TIER 1</v>
          </cell>
          <cell r="G500" t="str">
            <v>SKILLED</v>
          </cell>
          <cell r="H500">
            <v>180</v>
          </cell>
          <cell r="I500">
            <v>39356</v>
          </cell>
        </row>
        <row r="501">
          <cell r="A501" t="str">
            <v>YU XING XIAN</v>
          </cell>
          <cell r="B501" t="str">
            <v>0 57840382</v>
          </cell>
          <cell r="C501">
            <v>39322</v>
          </cell>
          <cell r="D501" t="str">
            <v>WP LIVE</v>
          </cell>
          <cell r="E501">
            <v>40790</v>
          </cell>
          <cell r="F501" t="str">
            <v>TIER 1</v>
          </cell>
          <cell r="G501" t="str">
            <v>SKILLED</v>
          </cell>
          <cell r="H501">
            <v>180</v>
          </cell>
          <cell r="I501">
            <v>39356</v>
          </cell>
        </row>
        <row r="502">
          <cell r="A502" t="str">
            <v>YUAN HUI YAN</v>
          </cell>
          <cell r="B502" t="str">
            <v>0 57985577</v>
          </cell>
          <cell r="C502">
            <v>39476</v>
          </cell>
          <cell r="D502" t="str">
            <v>WP LIVE</v>
          </cell>
          <cell r="E502">
            <v>40937</v>
          </cell>
          <cell r="F502" t="str">
            <v>TIER 1</v>
          </cell>
          <cell r="G502" t="str">
            <v>SKILLED</v>
          </cell>
          <cell r="H502">
            <v>180</v>
          </cell>
          <cell r="I502">
            <v>39476</v>
          </cell>
        </row>
        <row r="503">
          <cell r="A503" t="str">
            <v>YUE YI PING</v>
          </cell>
          <cell r="B503" t="str">
            <v>0 72329597</v>
          </cell>
          <cell r="C503">
            <v>39526</v>
          </cell>
          <cell r="D503" t="str">
            <v>WP LIVE</v>
          </cell>
          <cell r="E503">
            <v>40972</v>
          </cell>
          <cell r="F503" t="str">
            <v>TIER 1</v>
          </cell>
          <cell r="G503" t="str">
            <v>SKILLED</v>
          </cell>
          <cell r="H503">
            <v>180</v>
          </cell>
          <cell r="I503">
            <v>39526</v>
          </cell>
        </row>
        <row r="504">
          <cell r="A504" t="str">
            <v>YUVANESHWARY A/P PARAMASIVAM</v>
          </cell>
          <cell r="B504" t="str">
            <v>4 03802980</v>
          </cell>
          <cell r="C504">
            <v>40725</v>
          </cell>
          <cell r="D504" t="str">
            <v>WP APPROVED</v>
          </cell>
          <cell r="F504" t="str">
            <v>TIER 1</v>
          </cell>
          <cell r="G504" t="str">
            <v>UNSKILLED</v>
          </cell>
          <cell r="H504">
            <v>280</v>
          </cell>
          <cell r="I504">
            <v>40725</v>
          </cell>
        </row>
        <row r="505">
          <cell r="A505" t="str">
            <v>ZAFER BIN ZAMORA</v>
          </cell>
          <cell r="B505" t="str">
            <v>6 09162244</v>
          </cell>
          <cell r="C505">
            <v>38313</v>
          </cell>
          <cell r="D505" t="str">
            <v>WP LIVE</v>
          </cell>
          <cell r="E505">
            <v>40777</v>
          </cell>
          <cell r="F505" t="str">
            <v>TIER 1</v>
          </cell>
          <cell r="G505" t="str">
            <v>UNSKILLED</v>
          </cell>
          <cell r="H505">
            <v>280</v>
          </cell>
          <cell r="I505">
            <v>38313</v>
          </cell>
        </row>
        <row r="506">
          <cell r="A506" t="str">
            <v>ZAHARAH BINTI HUSSIN</v>
          </cell>
          <cell r="B506" t="str">
            <v>3 56918649</v>
          </cell>
          <cell r="C506">
            <v>40569</v>
          </cell>
          <cell r="D506" t="str">
            <v>WP LIVE</v>
          </cell>
          <cell r="E506">
            <v>41312</v>
          </cell>
          <cell r="F506" t="str">
            <v>TIER 1</v>
          </cell>
          <cell r="G506" t="str">
            <v>SKILLED</v>
          </cell>
          <cell r="H506">
            <v>180</v>
          </cell>
          <cell r="I506">
            <v>40569</v>
          </cell>
        </row>
        <row r="507">
          <cell r="A507" t="str">
            <v>ZAIRO KIMIN</v>
          </cell>
          <cell r="B507" t="str">
            <v>4 01883401</v>
          </cell>
          <cell r="C507">
            <v>38488</v>
          </cell>
          <cell r="D507" t="str">
            <v>WP LIVE</v>
          </cell>
          <cell r="E507">
            <v>41009</v>
          </cell>
          <cell r="F507" t="str">
            <v>TIER 1</v>
          </cell>
          <cell r="G507" t="str">
            <v>UNSKILLED</v>
          </cell>
          <cell r="H507">
            <v>280</v>
          </cell>
          <cell r="I507">
            <v>38488</v>
          </cell>
        </row>
        <row r="508">
          <cell r="A508" t="str">
            <v>ZANARIAH BINTI DIN</v>
          </cell>
          <cell r="B508" t="str">
            <v>5 02666428</v>
          </cell>
          <cell r="C508">
            <v>40417</v>
          </cell>
          <cell r="D508" t="str">
            <v>WP LIVE</v>
          </cell>
          <cell r="E508">
            <v>40806</v>
          </cell>
          <cell r="F508" t="str">
            <v>TIER 1</v>
          </cell>
          <cell r="G508" t="str">
            <v>SKILLED</v>
          </cell>
          <cell r="H508">
            <v>180</v>
          </cell>
          <cell r="I508">
            <v>40417</v>
          </cell>
        </row>
        <row r="509">
          <cell r="A509" t="str">
            <v>ZANG GUANGCHANG</v>
          </cell>
          <cell r="B509" t="str">
            <v>0 72621522</v>
          </cell>
          <cell r="C509">
            <v>39605</v>
          </cell>
          <cell r="D509" t="str">
            <v>WP LIVE</v>
          </cell>
          <cell r="E509">
            <v>41067</v>
          </cell>
          <cell r="F509" t="str">
            <v>TIER 1</v>
          </cell>
          <cell r="G509" t="str">
            <v>SKILLED</v>
          </cell>
          <cell r="H509">
            <v>180</v>
          </cell>
          <cell r="I509">
            <v>40725</v>
          </cell>
        </row>
        <row r="510">
          <cell r="A510" t="str">
            <v>ZHAI LITAO</v>
          </cell>
          <cell r="B510" t="str">
            <v>0 73374979</v>
          </cell>
          <cell r="C510">
            <v>39945</v>
          </cell>
          <cell r="D510" t="str">
            <v>WP LIVE</v>
          </cell>
          <cell r="E510">
            <v>41399</v>
          </cell>
          <cell r="F510" t="str">
            <v>TIER 1</v>
          </cell>
          <cell r="G510" t="str">
            <v>SKILLED</v>
          </cell>
          <cell r="H510">
            <v>180</v>
          </cell>
          <cell r="I510">
            <v>40695</v>
          </cell>
        </row>
        <row r="511">
          <cell r="A511" t="str">
            <v>ZHAI XIAOHONG</v>
          </cell>
          <cell r="B511" t="str">
            <v>0 73047277</v>
          </cell>
          <cell r="C511">
            <v>39756</v>
          </cell>
          <cell r="D511" t="str">
            <v>WP LIVE</v>
          </cell>
          <cell r="E511">
            <v>41215</v>
          </cell>
          <cell r="F511" t="str">
            <v>TIER 1</v>
          </cell>
          <cell r="G511" t="str">
            <v>SKILLED</v>
          </cell>
          <cell r="H511">
            <v>180</v>
          </cell>
          <cell r="I511">
            <v>40725</v>
          </cell>
        </row>
        <row r="512">
          <cell r="A512" t="str">
            <v>ZHANG CHAO</v>
          </cell>
          <cell r="B512" t="str">
            <v>0 72747852</v>
          </cell>
          <cell r="C512">
            <v>39645</v>
          </cell>
          <cell r="D512" t="str">
            <v>WP LIVE</v>
          </cell>
          <cell r="E512">
            <v>41112</v>
          </cell>
          <cell r="F512" t="str">
            <v>TIER 1</v>
          </cell>
          <cell r="G512" t="str">
            <v>SKILLED</v>
          </cell>
          <cell r="H512">
            <v>180</v>
          </cell>
          <cell r="I512">
            <v>39645</v>
          </cell>
        </row>
        <row r="513">
          <cell r="A513" t="str">
            <v>ZHANG GUANGLIN</v>
          </cell>
          <cell r="B513" t="str">
            <v>0 73399564</v>
          </cell>
          <cell r="C513">
            <v>39954</v>
          </cell>
          <cell r="D513" t="str">
            <v>WP LIVE</v>
          </cell>
          <cell r="E513">
            <v>41399</v>
          </cell>
          <cell r="F513" t="str">
            <v>TIER 1</v>
          </cell>
          <cell r="G513" t="str">
            <v>SKILLED</v>
          </cell>
          <cell r="H513">
            <v>180</v>
          </cell>
          <cell r="I513">
            <v>39954</v>
          </cell>
        </row>
        <row r="514">
          <cell r="A514" t="str">
            <v>ZHANG HAI HONG</v>
          </cell>
          <cell r="B514" t="str">
            <v>0 73246210</v>
          </cell>
          <cell r="C514">
            <v>39871</v>
          </cell>
          <cell r="D514" t="str">
            <v>WP LIVE</v>
          </cell>
          <cell r="E514">
            <v>41333</v>
          </cell>
          <cell r="F514" t="str">
            <v>TIER 1</v>
          </cell>
          <cell r="G514" t="str">
            <v>SKILLED</v>
          </cell>
          <cell r="H514">
            <v>180</v>
          </cell>
          <cell r="I514">
            <v>40725</v>
          </cell>
        </row>
        <row r="515">
          <cell r="A515" t="str">
            <v>ZHANG HONGYING</v>
          </cell>
          <cell r="B515" t="str">
            <v>0 73047609</v>
          </cell>
          <cell r="C515">
            <v>39756</v>
          </cell>
          <cell r="D515" t="str">
            <v>WP LIVE</v>
          </cell>
          <cell r="E515">
            <v>41215</v>
          </cell>
          <cell r="F515" t="str">
            <v>TIER 1</v>
          </cell>
          <cell r="G515" t="str">
            <v>SKILLED</v>
          </cell>
          <cell r="H515">
            <v>180</v>
          </cell>
          <cell r="I515">
            <v>40725</v>
          </cell>
        </row>
        <row r="516">
          <cell r="A516" t="str">
            <v>ZHANG LI QIN</v>
          </cell>
          <cell r="B516" t="str">
            <v>0 57835745</v>
          </cell>
          <cell r="C516">
            <v>39318</v>
          </cell>
          <cell r="D516" t="str">
            <v>WP LIVE</v>
          </cell>
          <cell r="E516">
            <v>40790</v>
          </cell>
          <cell r="F516" t="str">
            <v>TIER 1</v>
          </cell>
          <cell r="G516" t="str">
            <v>SKILLED</v>
          </cell>
          <cell r="H516">
            <v>180</v>
          </cell>
          <cell r="I516">
            <v>39318</v>
          </cell>
        </row>
        <row r="517">
          <cell r="A517" t="str">
            <v>ZHANG LIHONG</v>
          </cell>
          <cell r="B517" t="str">
            <v>0 72604156</v>
          </cell>
          <cell r="C517">
            <v>39597</v>
          </cell>
          <cell r="D517" t="str">
            <v>WP LIVE</v>
          </cell>
          <cell r="E517">
            <v>41057</v>
          </cell>
          <cell r="F517" t="str">
            <v>TIER 1</v>
          </cell>
          <cell r="G517" t="str">
            <v>SKILLED</v>
          </cell>
          <cell r="H517">
            <v>180</v>
          </cell>
          <cell r="I517">
            <v>39597</v>
          </cell>
        </row>
        <row r="518">
          <cell r="A518" t="str">
            <v>ZHANG PEI</v>
          </cell>
          <cell r="B518" t="str">
            <v>0 73064392</v>
          </cell>
          <cell r="C518">
            <v>39918</v>
          </cell>
          <cell r="D518" t="str">
            <v>WP LIVE</v>
          </cell>
          <cell r="E518">
            <v>41014</v>
          </cell>
          <cell r="F518" t="str">
            <v>TIER 1</v>
          </cell>
          <cell r="G518" t="str">
            <v>SKILLED</v>
          </cell>
          <cell r="H518">
            <v>180</v>
          </cell>
          <cell r="I518">
            <v>39995</v>
          </cell>
        </row>
        <row r="519">
          <cell r="A519" t="str">
            <v>ZHANG QI HONG</v>
          </cell>
          <cell r="B519" t="str">
            <v>0 57697679</v>
          </cell>
          <cell r="C519">
            <v>39254</v>
          </cell>
          <cell r="D519" t="str">
            <v>WP LIVE</v>
          </cell>
          <cell r="E519">
            <v>41434</v>
          </cell>
          <cell r="F519" t="str">
            <v>TIER 1</v>
          </cell>
          <cell r="G519" t="str">
            <v>SKILLED</v>
          </cell>
          <cell r="H519">
            <v>180</v>
          </cell>
          <cell r="I519">
            <v>39356</v>
          </cell>
        </row>
        <row r="520">
          <cell r="A520" t="str">
            <v>ZHANG QIN</v>
          </cell>
          <cell r="B520" t="str">
            <v>0 72163338</v>
          </cell>
          <cell r="C520">
            <v>39463</v>
          </cell>
          <cell r="D520" t="str">
            <v>WP LIVE</v>
          </cell>
          <cell r="E520">
            <v>40924</v>
          </cell>
          <cell r="F520" t="str">
            <v>TIER 1</v>
          </cell>
          <cell r="G520" t="str">
            <v>SKILLED</v>
          </cell>
          <cell r="H520">
            <v>180</v>
          </cell>
          <cell r="I520">
            <v>39463</v>
          </cell>
        </row>
        <row r="521">
          <cell r="A521" t="str">
            <v>ZHANG XIAOXIANG</v>
          </cell>
          <cell r="B521" t="str">
            <v>0 72355008</v>
          </cell>
          <cell r="C521">
            <v>39535</v>
          </cell>
          <cell r="D521" t="str">
            <v>WP LIVE</v>
          </cell>
          <cell r="E521">
            <v>40997</v>
          </cell>
          <cell r="F521" t="str">
            <v>TIER 1</v>
          </cell>
          <cell r="G521" t="str">
            <v>SKILLED</v>
          </cell>
          <cell r="H521">
            <v>180</v>
          </cell>
          <cell r="I521">
            <v>39535</v>
          </cell>
        </row>
        <row r="522">
          <cell r="A522" t="str">
            <v>ZHANG XIUBO</v>
          </cell>
          <cell r="B522" t="str">
            <v>0 72353234</v>
          </cell>
          <cell r="C522">
            <v>39534</v>
          </cell>
          <cell r="D522" t="str">
            <v>WP LIVE</v>
          </cell>
          <cell r="E522">
            <v>40997</v>
          </cell>
          <cell r="F522" t="str">
            <v>TIER 1</v>
          </cell>
          <cell r="G522" t="str">
            <v>SKILLED</v>
          </cell>
          <cell r="H522">
            <v>180</v>
          </cell>
          <cell r="I522">
            <v>40269</v>
          </cell>
        </row>
        <row r="523">
          <cell r="A523" t="str">
            <v>ZHANG YUN</v>
          </cell>
          <cell r="B523" t="str">
            <v>0 72457315</v>
          </cell>
          <cell r="C523">
            <v>39561</v>
          </cell>
          <cell r="D523" t="str">
            <v>WP LIVE</v>
          </cell>
          <cell r="E523">
            <v>41032</v>
          </cell>
          <cell r="F523" t="str">
            <v>TIER 1</v>
          </cell>
          <cell r="G523" t="str">
            <v>SKILLED</v>
          </cell>
          <cell r="H523">
            <v>180</v>
          </cell>
          <cell r="I523">
            <v>40330</v>
          </cell>
        </row>
        <row r="524">
          <cell r="A524" t="str">
            <v>ZHAO CHAIXI</v>
          </cell>
          <cell r="B524" t="str">
            <v>0 72315251</v>
          </cell>
          <cell r="C524">
            <v>39521</v>
          </cell>
          <cell r="D524" t="str">
            <v>WP LIVE</v>
          </cell>
          <cell r="E524">
            <v>40972</v>
          </cell>
          <cell r="F524" t="str">
            <v>TIER 1</v>
          </cell>
          <cell r="G524" t="str">
            <v>SKILLED</v>
          </cell>
          <cell r="H524">
            <v>180</v>
          </cell>
          <cell r="I524">
            <v>39569</v>
          </cell>
        </row>
        <row r="525">
          <cell r="A525" t="str">
            <v>ZHAO LI JIAN</v>
          </cell>
          <cell r="B525" t="str">
            <v>0 57835907</v>
          </cell>
          <cell r="C525">
            <v>39318</v>
          </cell>
          <cell r="D525" t="str">
            <v>WP LIVE</v>
          </cell>
          <cell r="E525">
            <v>40790</v>
          </cell>
          <cell r="F525" t="str">
            <v>TIER 1</v>
          </cell>
          <cell r="G525" t="str">
            <v>SKILLED</v>
          </cell>
          <cell r="H525">
            <v>180</v>
          </cell>
          <cell r="I525">
            <v>39356</v>
          </cell>
        </row>
        <row r="526">
          <cell r="A526" t="str">
            <v>ZHAO SHI HAN</v>
          </cell>
          <cell r="B526" t="str">
            <v>0 72207394</v>
          </cell>
          <cell r="C526">
            <v>39476</v>
          </cell>
          <cell r="D526" t="str">
            <v>WP LIVE</v>
          </cell>
          <cell r="E526">
            <v>40937</v>
          </cell>
          <cell r="F526" t="str">
            <v>TIER 1</v>
          </cell>
          <cell r="G526" t="str">
            <v>SKILLED</v>
          </cell>
          <cell r="H526">
            <v>180</v>
          </cell>
          <cell r="I526">
            <v>39539</v>
          </cell>
        </row>
        <row r="527">
          <cell r="A527" t="str">
            <v>ZHAO SHI RONG</v>
          </cell>
          <cell r="B527" t="str">
            <v>0 73246180</v>
          </cell>
          <cell r="C527">
            <v>39871</v>
          </cell>
          <cell r="D527" t="str">
            <v>WP LIVE</v>
          </cell>
          <cell r="E527">
            <v>41333</v>
          </cell>
          <cell r="F527" t="str">
            <v>TIER 1</v>
          </cell>
          <cell r="G527" t="str">
            <v>SKILLED</v>
          </cell>
          <cell r="H527">
            <v>180</v>
          </cell>
          <cell r="I527">
            <v>39995</v>
          </cell>
        </row>
        <row r="528">
          <cell r="A528" t="str">
            <v>ZHAO WEN PING</v>
          </cell>
          <cell r="B528" t="str">
            <v>0 72058550</v>
          </cell>
          <cell r="C528">
            <v>39423</v>
          </cell>
          <cell r="D528" t="str">
            <v>WP LIVE</v>
          </cell>
          <cell r="E528">
            <v>41244</v>
          </cell>
          <cell r="F528" t="str">
            <v>TIER 1</v>
          </cell>
          <cell r="G528" t="str">
            <v>SKILLED</v>
          </cell>
          <cell r="H528">
            <v>180</v>
          </cell>
          <cell r="I528">
            <v>39508</v>
          </cell>
        </row>
        <row r="529">
          <cell r="A529" t="str">
            <v>ZHAO YANNIAN</v>
          </cell>
          <cell r="B529" t="str">
            <v>0 73026571</v>
          </cell>
          <cell r="C529">
            <v>39744</v>
          </cell>
          <cell r="D529" t="str">
            <v>WP LIVE</v>
          </cell>
          <cell r="E529">
            <v>41189</v>
          </cell>
          <cell r="F529" t="str">
            <v>TIER 1</v>
          </cell>
          <cell r="G529" t="str">
            <v>SKILLED</v>
          </cell>
          <cell r="H529">
            <v>180</v>
          </cell>
          <cell r="I529">
            <v>39744</v>
          </cell>
        </row>
        <row r="530">
          <cell r="A530" t="str">
            <v>ZHAO YUAN</v>
          </cell>
          <cell r="B530" t="str">
            <v>0 72352866</v>
          </cell>
          <cell r="C530">
            <v>39534</v>
          </cell>
          <cell r="D530" t="str">
            <v>WP LIVE</v>
          </cell>
          <cell r="E530">
            <v>40997</v>
          </cell>
          <cell r="F530" t="str">
            <v>TIER 1</v>
          </cell>
          <cell r="G530" t="str">
            <v>SKILLED</v>
          </cell>
          <cell r="H530">
            <v>180</v>
          </cell>
          <cell r="I530">
            <v>40725</v>
          </cell>
        </row>
        <row r="531">
          <cell r="A531" t="str">
            <v>ZHENG HONGLI</v>
          </cell>
          <cell r="B531" t="str">
            <v>0 72528336</v>
          </cell>
          <cell r="C531">
            <v>39577</v>
          </cell>
          <cell r="D531" t="str">
            <v>WP LIVE</v>
          </cell>
          <cell r="E531">
            <v>41039</v>
          </cell>
          <cell r="F531" t="str">
            <v>TIER 1</v>
          </cell>
          <cell r="G531" t="str">
            <v>SKILLED</v>
          </cell>
          <cell r="H531">
            <v>180</v>
          </cell>
          <cell r="I531">
            <v>40330</v>
          </cell>
        </row>
        <row r="532">
          <cell r="A532" t="str">
            <v>ZHENG JUN</v>
          </cell>
          <cell r="B532" t="str">
            <v>0 57930586</v>
          </cell>
          <cell r="C532">
            <v>39918</v>
          </cell>
          <cell r="D532" t="str">
            <v>WP LIVE</v>
          </cell>
          <cell r="E532">
            <v>41014</v>
          </cell>
          <cell r="F532" t="str">
            <v>TIER 1</v>
          </cell>
          <cell r="G532" t="str">
            <v>SKILLED</v>
          </cell>
          <cell r="H532">
            <v>180</v>
          </cell>
          <cell r="I532">
            <v>39995</v>
          </cell>
        </row>
        <row r="533">
          <cell r="A533" t="str">
            <v>ZHONG JI YUN</v>
          </cell>
          <cell r="B533" t="str">
            <v>0 57830166</v>
          </cell>
          <cell r="C533">
            <v>39316</v>
          </cell>
          <cell r="D533" t="str">
            <v>WP LIVE</v>
          </cell>
          <cell r="E533">
            <v>40790</v>
          </cell>
          <cell r="F533" t="str">
            <v>TIER 1</v>
          </cell>
          <cell r="G533" t="str">
            <v>SKILLED</v>
          </cell>
          <cell r="H533">
            <v>180</v>
          </cell>
          <cell r="I533">
            <v>39356</v>
          </cell>
        </row>
        <row r="534">
          <cell r="A534" t="str">
            <v>ZHOU AI HUA</v>
          </cell>
          <cell r="B534" t="str">
            <v>0 72206738</v>
          </cell>
          <cell r="C534">
            <v>39476</v>
          </cell>
          <cell r="D534" t="str">
            <v>WP LIVE</v>
          </cell>
          <cell r="E534">
            <v>40937</v>
          </cell>
          <cell r="F534" t="str">
            <v>TIER 1</v>
          </cell>
          <cell r="G534" t="str">
            <v>SKILLED</v>
          </cell>
          <cell r="H534">
            <v>180</v>
          </cell>
          <cell r="I534">
            <v>39476</v>
          </cell>
        </row>
        <row r="535">
          <cell r="A535" t="str">
            <v>ZHOU AI HUA</v>
          </cell>
          <cell r="B535" t="str">
            <v>0 72161211</v>
          </cell>
          <cell r="C535">
            <v>39463</v>
          </cell>
          <cell r="D535" t="str">
            <v>WP LIVE</v>
          </cell>
          <cell r="E535">
            <v>40924</v>
          </cell>
          <cell r="F535" t="str">
            <v>TIER 1</v>
          </cell>
          <cell r="G535" t="str">
            <v>SKILLED</v>
          </cell>
          <cell r="H535">
            <v>180</v>
          </cell>
          <cell r="I535">
            <v>39463</v>
          </cell>
        </row>
        <row r="536">
          <cell r="A536" t="str">
            <v>ZHOU HAI YING</v>
          </cell>
          <cell r="B536" t="str">
            <v>0 57687398</v>
          </cell>
          <cell r="C536">
            <v>39252</v>
          </cell>
          <cell r="D536" t="str">
            <v>WP LIVE</v>
          </cell>
          <cell r="E536">
            <v>41434</v>
          </cell>
          <cell r="F536" t="str">
            <v>TIER 1</v>
          </cell>
          <cell r="G536" t="str">
            <v>SKILLED</v>
          </cell>
          <cell r="H536">
            <v>180</v>
          </cell>
          <cell r="I536">
            <v>39252</v>
          </cell>
        </row>
        <row r="537">
          <cell r="A537" t="str">
            <v>ZHOU JINGYAN</v>
          </cell>
          <cell r="B537" t="str">
            <v>0 72255798</v>
          </cell>
          <cell r="C537">
            <v>39501</v>
          </cell>
          <cell r="D537" t="str">
            <v>WP LIVE</v>
          </cell>
          <cell r="E537">
            <v>40962</v>
          </cell>
          <cell r="F537" t="str">
            <v>TIER 1</v>
          </cell>
          <cell r="G537" t="str">
            <v>SKILLED</v>
          </cell>
          <cell r="H537">
            <v>180</v>
          </cell>
          <cell r="I537">
            <v>39569</v>
          </cell>
        </row>
        <row r="538">
          <cell r="A538" t="str">
            <v>ZHOU RONG</v>
          </cell>
          <cell r="B538" t="str">
            <v>0 57836210</v>
          </cell>
          <cell r="C538">
            <v>39318</v>
          </cell>
          <cell r="D538" t="str">
            <v>WP LIVE</v>
          </cell>
          <cell r="E538">
            <v>40790</v>
          </cell>
          <cell r="F538" t="str">
            <v>TIER 1</v>
          </cell>
          <cell r="G538" t="str">
            <v>SKILLED</v>
          </cell>
          <cell r="H538">
            <v>180</v>
          </cell>
          <cell r="I538">
            <v>39318</v>
          </cell>
        </row>
        <row r="539">
          <cell r="A539" t="str">
            <v>ZHU CHUNLONG</v>
          </cell>
          <cell r="B539" t="str">
            <v>0 72241797</v>
          </cell>
          <cell r="C539">
            <v>39496</v>
          </cell>
          <cell r="D539" t="str">
            <v>WP LIVE</v>
          </cell>
          <cell r="E539">
            <v>40956</v>
          </cell>
          <cell r="F539" t="str">
            <v>TIER 1</v>
          </cell>
          <cell r="G539" t="str">
            <v>SKILLED</v>
          </cell>
          <cell r="H539">
            <v>180</v>
          </cell>
          <cell r="I539">
            <v>39539</v>
          </cell>
        </row>
        <row r="540">
          <cell r="A540" t="str">
            <v>ZHU FEI</v>
          </cell>
          <cell r="B540" t="str">
            <v>0 72621972</v>
          </cell>
          <cell r="C540">
            <v>39605</v>
          </cell>
          <cell r="D540" t="str">
            <v>WP LIVE</v>
          </cell>
          <cell r="E540">
            <v>41067</v>
          </cell>
          <cell r="F540" t="str">
            <v>TIER 1</v>
          </cell>
          <cell r="G540" t="str">
            <v>SKILLED</v>
          </cell>
          <cell r="H540">
            <v>180</v>
          </cell>
          <cell r="I540">
            <v>40725</v>
          </cell>
        </row>
        <row r="541">
          <cell r="A541" t="str">
            <v>ZHU XIAONING</v>
          </cell>
          <cell r="B541" t="str">
            <v>0 72255747</v>
          </cell>
          <cell r="C541">
            <v>39501</v>
          </cell>
          <cell r="D541" t="str">
            <v>WP LIVE</v>
          </cell>
          <cell r="E541">
            <v>40962</v>
          </cell>
          <cell r="F541" t="str">
            <v>TIER 1</v>
          </cell>
          <cell r="G541" t="str">
            <v>SKILLED</v>
          </cell>
          <cell r="H541">
            <v>180</v>
          </cell>
          <cell r="I541">
            <v>39569</v>
          </cell>
        </row>
        <row r="542">
          <cell r="A542" t="str">
            <v>ZHUANG RULIAN</v>
          </cell>
          <cell r="B542" t="str">
            <v>0 72419324</v>
          </cell>
          <cell r="C542">
            <v>39547</v>
          </cell>
          <cell r="D542" t="str">
            <v>WP LIVE</v>
          </cell>
          <cell r="E542">
            <v>41011</v>
          </cell>
          <cell r="F542" t="str">
            <v>TIER 1</v>
          </cell>
          <cell r="G542" t="str">
            <v>SKILLED</v>
          </cell>
          <cell r="H542">
            <v>180</v>
          </cell>
          <cell r="I542">
            <v>40299</v>
          </cell>
        </row>
        <row r="543">
          <cell r="A543" t="str">
            <v>A PRAVIN A/L MUNIANDY</v>
          </cell>
          <cell r="B543" t="str">
            <v>4 0347861-</v>
          </cell>
          <cell r="C543">
            <v>40361</v>
          </cell>
          <cell r="D543" t="str">
            <v>WP LIVE</v>
          </cell>
          <cell r="E543">
            <v>41054</v>
          </cell>
          <cell r="F543" t="str">
            <v>TIER 2</v>
          </cell>
          <cell r="G543" t="str">
            <v>UNSKILLED</v>
          </cell>
          <cell r="H543">
            <v>400</v>
          </cell>
          <cell r="I543">
            <v>40361</v>
          </cell>
        </row>
        <row r="544">
          <cell r="A544" t="str">
            <v>AB ZAMAL BIN SHAID OTHMAN</v>
          </cell>
          <cell r="B544" t="str">
            <v>6 06030002</v>
          </cell>
          <cell r="C544">
            <v>40232</v>
          </cell>
          <cell r="D544" t="str">
            <v>WP LIVE</v>
          </cell>
          <cell r="E544">
            <v>40990</v>
          </cell>
          <cell r="F544" t="str">
            <v>TIER 2</v>
          </cell>
          <cell r="G544" t="str">
            <v>UNSKILLED</v>
          </cell>
          <cell r="H544">
            <v>400</v>
          </cell>
          <cell r="I544">
            <v>40232</v>
          </cell>
        </row>
        <row r="545">
          <cell r="A545" t="str">
            <v>ABDUL GHANI BIN K BAWA</v>
          </cell>
          <cell r="B545" t="str">
            <v>3 82147987</v>
          </cell>
          <cell r="C545">
            <v>40385</v>
          </cell>
          <cell r="D545" t="str">
            <v>WP LIVE</v>
          </cell>
          <cell r="E545">
            <v>41136</v>
          </cell>
          <cell r="F545" t="str">
            <v>TIER 2</v>
          </cell>
          <cell r="G545" t="str">
            <v>UNSKILLED</v>
          </cell>
          <cell r="H545">
            <v>400</v>
          </cell>
          <cell r="I545">
            <v>40385</v>
          </cell>
        </row>
        <row r="546">
          <cell r="A546" t="str">
            <v>ABDUL SAIRAN BIN ABDUL GHANI</v>
          </cell>
          <cell r="B546" t="str">
            <v>6 04418437</v>
          </cell>
          <cell r="C546">
            <v>39969</v>
          </cell>
          <cell r="D546" t="str">
            <v>WP LIVE</v>
          </cell>
          <cell r="E546">
            <v>41091</v>
          </cell>
          <cell r="F546" t="str">
            <v>TIER 2</v>
          </cell>
          <cell r="G546" t="str">
            <v>UNSKILLED</v>
          </cell>
          <cell r="H546">
            <v>400</v>
          </cell>
          <cell r="I546">
            <v>40725</v>
          </cell>
        </row>
        <row r="547">
          <cell r="A547" t="str">
            <v>ABU BAKAR BIN AHMAD</v>
          </cell>
          <cell r="B547" t="str">
            <v>8 93072330</v>
          </cell>
          <cell r="C547">
            <v>39720</v>
          </cell>
          <cell r="D547" t="str">
            <v>WP LIVE</v>
          </cell>
          <cell r="E547">
            <v>41196</v>
          </cell>
          <cell r="F547" t="str">
            <v>TIER 2</v>
          </cell>
          <cell r="G547" t="str">
            <v>UNSKILLED</v>
          </cell>
          <cell r="H547">
            <v>400</v>
          </cell>
          <cell r="I547">
            <v>40725</v>
          </cell>
        </row>
        <row r="548">
          <cell r="A548" t="str">
            <v>AGATHA PAYA LALO</v>
          </cell>
          <cell r="B548" t="str">
            <v>8 93638849</v>
          </cell>
          <cell r="C548">
            <v>39499</v>
          </cell>
          <cell r="D548" t="str">
            <v>WP LIVE</v>
          </cell>
          <cell r="E548">
            <v>40980</v>
          </cell>
          <cell r="F548" t="str">
            <v>TIER 2</v>
          </cell>
          <cell r="G548" t="str">
            <v>UNSKILLED</v>
          </cell>
          <cell r="H548">
            <v>400</v>
          </cell>
          <cell r="I548">
            <v>40725</v>
          </cell>
        </row>
        <row r="549">
          <cell r="A549" t="str">
            <v>ALAGESWARY A/P SUBRAMANIAM</v>
          </cell>
          <cell r="B549" t="str">
            <v>3 67812885</v>
          </cell>
          <cell r="C549">
            <v>40238</v>
          </cell>
          <cell r="D549" t="str">
            <v>WP LIVE</v>
          </cell>
          <cell r="E549">
            <v>40933</v>
          </cell>
          <cell r="F549" t="str">
            <v>TIER 2</v>
          </cell>
          <cell r="G549" t="str">
            <v>UNSKILLED</v>
          </cell>
          <cell r="H549">
            <v>400</v>
          </cell>
          <cell r="I549">
            <v>40238</v>
          </cell>
        </row>
        <row r="550">
          <cell r="A550" t="str">
            <v>ALAS BIN ANDIPANG</v>
          </cell>
          <cell r="B550" t="str">
            <v>4 01893504</v>
          </cell>
          <cell r="C550">
            <v>39463</v>
          </cell>
          <cell r="D550" t="str">
            <v>WP LIVE</v>
          </cell>
          <cell r="E550">
            <v>40928</v>
          </cell>
          <cell r="F550" t="str">
            <v>TIER 2</v>
          </cell>
          <cell r="G550" t="str">
            <v>UNSKILLED</v>
          </cell>
          <cell r="H550">
            <v>400</v>
          </cell>
          <cell r="I550">
            <v>39539</v>
          </cell>
        </row>
        <row r="551">
          <cell r="A551" t="str">
            <v>ALEXANDER ANGAR</v>
          </cell>
          <cell r="B551" t="str">
            <v>4 03234532</v>
          </cell>
          <cell r="C551">
            <v>40291</v>
          </cell>
          <cell r="D551" t="str">
            <v>WP LIVE</v>
          </cell>
          <cell r="E551">
            <v>41026</v>
          </cell>
          <cell r="F551" t="str">
            <v>TIER 2</v>
          </cell>
          <cell r="G551" t="str">
            <v>UNSKILLED</v>
          </cell>
          <cell r="H551">
            <v>400</v>
          </cell>
          <cell r="I551">
            <v>40360</v>
          </cell>
        </row>
        <row r="552">
          <cell r="A552" t="str">
            <v>ALIAS @ PETER BIN KALINDING</v>
          </cell>
          <cell r="B552" t="str">
            <v>4 01584293</v>
          </cell>
          <cell r="C552">
            <v>39400</v>
          </cell>
          <cell r="D552" t="str">
            <v>WP LIVE</v>
          </cell>
          <cell r="E552">
            <v>41264</v>
          </cell>
          <cell r="F552" t="str">
            <v>TIER 2</v>
          </cell>
          <cell r="G552" t="str">
            <v>UNSKILLED</v>
          </cell>
          <cell r="H552">
            <v>400</v>
          </cell>
          <cell r="I552">
            <v>40725</v>
          </cell>
        </row>
        <row r="553">
          <cell r="A553" t="str">
            <v>AMAKANNU A/P PONNUSAMY</v>
          </cell>
          <cell r="B553" t="str">
            <v>4 01764836</v>
          </cell>
          <cell r="C553">
            <v>40492</v>
          </cell>
          <cell r="D553" t="str">
            <v>WP LIVE</v>
          </cell>
          <cell r="E553">
            <v>40905</v>
          </cell>
          <cell r="F553" t="str">
            <v>TIER 2</v>
          </cell>
          <cell r="G553" t="str">
            <v>UNSKILLED</v>
          </cell>
          <cell r="H553">
            <v>400</v>
          </cell>
          <cell r="I553">
            <v>40492</v>
          </cell>
        </row>
        <row r="554">
          <cell r="A554" t="str">
            <v>AMRAVATHI A/P VADIVELU</v>
          </cell>
          <cell r="B554" t="str">
            <v>3 35664086</v>
          </cell>
          <cell r="C554">
            <v>39685</v>
          </cell>
          <cell r="D554" t="str">
            <v>WP LIVE</v>
          </cell>
          <cell r="E554">
            <v>41161</v>
          </cell>
          <cell r="F554" t="str">
            <v>TIER 2</v>
          </cell>
          <cell r="G554" t="str">
            <v>UNSKILLED</v>
          </cell>
          <cell r="H554">
            <v>400</v>
          </cell>
          <cell r="I554">
            <v>39685</v>
          </cell>
        </row>
        <row r="555">
          <cell r="A555" t="str">
            <v>AMUTHA A/P RAJAMANICKAM</v>
          </cell>
          <cell r="B555" t="str">
            <v>5 39357530</v>
          </cell>
          <cell r="C555">
            <v>40484</v>
          </cell>
          <cell r="D555" t="str">
            <v>WP LIVE</v>
          </cell>
          <cell r="E555">
            <v>40728</v>
          </cell>
          <cell r="F555" t="str">
            <v>TIER 2</v>
          </cell>
          <cell r="G555" t="str">
            <v>UNSKILLED</v>
          </cell>
          <cell r="H555">
            <v>400</v>
          </cell>
          <cell r="I555">
            <v>40484</v>
          </cell>
        </row>
        <row r="556">
          <cell r="A556" t="str">
            <v>ANANTHARAJA A/L PACHEEMUTHU</v>
          </cell>
          <cell r="B556" t="str">
            <v>5 32121698</v>
          </cell>
          <cell r="C556">
            <v>40169</v>
          </cell>
          <cell r="D556" t="str">
            <v>WP LIVE</v>
          </cell>
          <cell r="E556">
            <v>41326</v>
          </cell>
          <cell r="F556" t="str">
            <v>TIER 2</v>
          </cell>
          <cell r="G556" t="str">
            <v>UNSKILLED</v>
          </cell>
          <cell r="H556">
            <v>400</v>
          </cell>
          <cell r="I556">
            <v>40725</v>
          </cell>
        </row>
        <row r="557">
          <cell r="A557" t="str">
            <v>ANBALAGAN A/L SUBRAMANIAN</v>
          </cell>
          <cell r="B557" t="str">
            <v>3 72870842</v>
          </cell>
          <cell r="C557">
            <v>39757</v>
          </cell>
          <cell r="D557" t="str">
            <v>WP LIVE</v>
          </cell>
          <cell r="E557">
            <v>41110</v>
          </cell>
          <cell r="F557" t="str">
            <v>TIER 2</v>
          </cell>
          <cell r="G557" t="str">
            <v>UNSKILLED</v>
          </cell>
          <cell r="H557">
            <v>400</v>
          </cell>
          <cell r="I557">
            <v>40725</v>
          </cell>
        </row>
        <row r="558">
          <cell r="A558" t="str">
            <v>ANJALAI DEVI A/P GURUVELOO</v>
          </cell>
          <cell r="B558" t="str">
            <v>5 09100756</v>
          </cell>
          <cell r="C558">
            <v>39344</v>
          </cell>
          <cell r="D558" t="str">
            <v>WP LIVE</v>
          </cell>
          <cell r="E558">
            <v>40820</v>
          </cell>
          <cell r="F558" t="str">
            <v>TIER 2</v>
          </cell>
          <cell r="G558" t="str">
            <v>UNSKILLED</v>
          </cell>
          <cell r="H558">
            <v>400</v>
          </cell>
          <cell r="I558">
            <v>40725</v>
          </cell>
        </row>
        <row r="559">
          <cell r="A559" t="str">
            <v>ANJULI A/P KALIAPPAN</v>
          </cell>
          <cell r="B559" t="str">
            <v>3 67580917</v>
          </cell>
          <cell r="C559">
            <v>39196</v>
          </cell>
          <cell r="D559" t="str">
            <v>WP LIVE</v>
          </cell>
          <cell r="E559">
            <v>41344</v>
          </cell>
          <cell r="F559" t="str">
            <v>TIER 2</v>
          </cell>
          <cell r="G559" t="str">
            <v>UNSKILLED</v>
          </cell>
          <cell r="H559">
            <v>400</v>
          </cell>
          <cell r="I559">
            <v>40725</v>
          </cell>
        </row>
        <row r="560">
          <cell r="A560" t="str">
            <v>ANUAR BIN MAMAT</v>
          </cell>
          <cell r="B560" t="str">
            <v>5 07256643</v>
          </cell>
          <cell r="C560">
            <v>39720</v>
          </cell>
          <cell r="D560" t="str">
            <v>WP LIVE</v>
          </cell>
          <cell r="E560">
            <v>41116</v>
          </cell>
          <cell r="F560" t="str">
            <v>TIER 2</v>
          </cell>
          <cell r="G560" t="str">
            <v>UNSKILLED</v>
          </cell>
          <cell r="H560">
            <v>400</v>
          </cell>
          <cell r="I560">
            <v>39720</v>
          </cell>
        </row>
        <row r="561">
          <cell r="A561" t="str">
            <v>ARIAMALAI A/P RAMAN</v>
          </cell>
          <cell r="B561" t="str">
            <v>3 81365484</v>
          </cell>
          <cell r="C561">
            <v>40450</v>
          </cell>
          <cell r="D561" t="str">
            <v>WP LIVE</v>
          </cell>
          <cell r="E561">
            <v>41188</v>
          </cell>
          <cell r="F561" t="str">
            <v>TIER 2</v>
          </cell>
          <cell r="G561" t="str">
            <v>UNSKILLED</v>
          </cell>
          <cell r="H561">
            <v>400</v>
          </cell>
          <cell r="I561">
            <v>40725</v>
          </cell>
        </row>
        <row r="562">
          <cell r="A562" t="str">
            <v>ARIFFIN BIN NGAH</v>
          </cell>
          <cell r="B562" t="str">
            <v>4 02549084</v>
          </cell>
          <cell r="C562">
            <v>39450</v>
          </cell>
          <cell r="D562" t="str">
            <v>WP LIVE</v>
          </cell>
          <cell r="E562">
            <v>40915</v>
          </cell>
          <cell r="F562" t="str">
            <v>TIER 2</v>
          </cell>
          <cell r="G562" t="str">
            <v>UNSKILLED</v>
          </cell>
          <cell r="H562">
            <v>400</v>
          </cell>
          <cell r="I562">
            <v>39569</v>
          </cell>
        </row>
        <row r="563">
          <cell r="A563" t="str">
            <v>ASILIN ALIAN</v>
          </cell>
          <cell r="B563" t="str">
            <v>4 02261730</v>
          </cell>
          <cell r="C563">
            <v>39801</v>
          </cell>
          <cell r="D563" t="str">
            <v>WP LIVE</v>
          </cell>
          <cell r="E563">
            <v>41279</v>
          </cell>
          <cell r="F563" t="str">
            <v>TIER 2</v>
          </cell>
          <cell r="G563" t="str">
            <v>UNSKILLED</v>
          </cell>
          <cell r="H563">
            <v>400</v>
          </cell>
          <cell r="I563">
            <v>40725</v>
          </cell>
        </row>
        <row r="564">
          <cell r="A564" t="str">
            <v>ASILIZAN BIN SUNGIN</v>
          </cell>
          <cell r="B564" t="str">
            <v>4 01769943</v>
          </cell>
          <cell r="C564">
            <v>39021</v>
          </cell>
          <cell r="D564" t="str">
            <v>WP LIVE</v>
          </cell>
          <cell r="E564">
            <v>40849</v>
          </cell>
          <cell r="F564" t="str">
            <v>TIER 2</v>
          </cell>
          <cell r="G564" t="str">
            <v>UNSKILLED</v>
          </cell>
          <cell r="H564">
            <v>400</v>
          </cell>
          <cell r="I564">
            <v>40725</v>
          </cell>
        </row>
        <row r="565">
          <cell r="A565" t="str">
            <v>ASODZA A/P GOVINDASAMY</v>
          </cell>
          <cell r="B565" t="str">
            <v>3 82136136</v>
          </cell>
          <cell r="C565">
            <v>39759</v>
          </cell>
          <cell r="D565" t="str">
            <v>WP LIVE</v>
          </cell>
          <cell r="E565">
            <v>41215</v>
          </cell>
          <cell r="F565" t="str">
            <v>TIER 2</v>
          </cell>
          <cell r="G565" t="str">
            <v>UNSKILLED</v>
          </cell>
          <cell r="H565">
            <v>400</v>
          </cell>
          <cell r="I565">
            <v>40725</v>
          </cell>
        </row>
        <row r="566">
          <cell r="A566" t="str">
            <v>ASOTHA A/P KRISHNAN</v>
          </cell>
          <cell r="B566" t="str">
            <v>5 33452582</v>
          </cell>
          <cell r="C566">
            <v>39455</v>
          </cell>
          <cell r="D566" t="str">
            <v>WP LIVE</v>
          </cell>
          <cell r="E566">
            <v>41464</v>
          </cell>
          <cell r="F566" t="str">
            <v>TIER 2</v>
          </cell>
          <cell r="G566" t="str">
            <v>UNSKILLED</v>
          </cell>
          <cell r="H566">
            <v>400</v>
          </cell>
          <cell r="I566">
            <v>39569</v>
          </cell>
        </row>
        <row r="567">
          <cell r="A567" t="str">
            <v>AZIZPEE BIN A RAHMAN</v>
          </cell>
          <cell r="B567" t="str">
            <v>5 0576160-</v>
          </cell>
          <cell r="C567">
            <v>40288</v>
          </cell>
          <cell r="D567" t="str">
            <v>WP LIVE</v>
          </cell>
          <cell r="E567">
            <v>40976</v>
          </cell>
          <cell r="F567" t="str">
            <v>TIER 2</v>
          </cell>
          <cell r="G567" t="str">
            <v>UNSKILLED</v>
          </cell>
          <cell r="H567">
            <v>400</v>
          </cell>
          <cell r="I567">
            <v>40360</v>
          </cell>
        </row>
        <row r="568">
          <cell r="A568" t="str">
            <v>AZMAN BIN TOREDIN</v>
          </cell>
          <cell r="B568" t="str">
            <v>5 19800926</v>
          </cell>
          <cell r="C568">
            <v>40345</v>
          </cell>
          <cell r="D568" t="str">
            <v>WP LIVE</v>
          </cell>
          <cell r="E568">
            <v>41079</v>
          </cell>
          <cell r="F568" t="str">
            <v>TIER 2</v>
          </cell>
          <cell r="G568" t="str">
            <v>UNSKILLED</v>
          </cell>
          <cell r="H568">
            <v>400</v>
          </cell>
          <cell r="I568">
            <v>40360</v>
          </cell>
        </row>
        <row r="569">
          <cell r="A569" t="str">
            <v>BAKIALETCHUMY A/P ARJUNAN</v>
          </cell>
          <cell r="B569" t="str">
            <v>4 03466352</v>
          </cell>
          <cell r="C569">
            <v>40350</v>
          </cell>
          <cell r="D569" t="str">
            <v>WP LIVE</v>
          </cell>
          <cell r="E569">
            <v>40849</v>
          </cell>
          <cell r="F569" t="str">
            <v>TIER 2</v>
          </cell>
          <cell r="G569" t="str">
            <v>UNSKILLED</v>
          </cell>
          <cell r="H569">
            <v>400</v>
          </cell>
          <cell r="I569">
            <v>40360</v>
          </cell>
        </row>
        <row r="570">
          <cell r="A570" t="str">
            <v>BALA MURALLI A/L GUNARATNAM</v>
          </cell>
          <cell r="B570" t="str">
            <v>4 03015709</v>
          </cell>
          <cell r="C570">
            <v>40071</v>
          </cell>
          <cell r="D570" t="str">
            <v>WP LIVE</v>
          </cell>
          <cell r="E570">
            <v>40787</v>
          </cell>
          <cell r="F570" t="str">
            <v>TIER 2</v>
          </cell>
          <cell r="G570" t="str">
            <v>UNSKILLED</v>
          </cell>
          <cell r="H570">
            <v>400</v>
          </cell>
          <cell r="I570">
            <v>40725</v>
          </cell>
        </row>
        <row r="571">
          <cell r="A571" t="str">
            <v>BALAKRISHNAN A/L KANAPATHY</v>
          </cell>
          <cell r="B571" t="str">
            <v>3 70803447</v>
          </cell>
          <cell r="C571">
            <v>39849</v>
          </cell>
          <cell r="D571" t="str">
            <v>WP LIVE</v>
          </cell>
          <cell r="E571">
            <v>41320</v>
          </cell>
          <cell r="F571" t="str">
            <v>TIER 2</v>
          </cell>
          <cell r="G571" t="str">
            <v>UNSKILLED</v>
          </cell>
          <cell r="H571">
            <v>400</v>
          </cell>
          <cell r="I571">
            <v>39849</v>
          </cell>
        </row>
        <row r="572">
          <cell r="A572" t="str">
            <v>BALAKRISHNAN A/L RAMASAMY</v>
          </cell>
          <cell r="B572" t="str">
            <v>3 55152812</v>
          </cell>
          <cell r="C572">
            <v>38603</v>
          </cell>
          <cell r="D572" t="str">
            <v>WP LIVE</v>
          </cell>
          <cell r="E572">
            <v>41380</v>
          </cell>
          <cell r="F572" t="str">
            <v>TIER 2</v>
          </cell>
          <cell r="G572" t="str">
            <v>UNSKILLED</v>
          </cell>
          <cell r="H572">
            <v>400</v>
          </cell>
          <cell r="I572">
            <v>40725</v>
          </cell>
        </row>
        <row r="573">
          <cell r="A573" t="str">
            <v>BALAMURUGAN A/L MARIMUTHU</v>
          </cell>
          <cell r="B573" t="str">
            <v>4 03373478</v>
          </cell>
          <cell r="C573">
            <v>40276</v>
          </cell>
          <cell r="D573" t="str">
            <v>WP LIVE</v>
          </cell>
          <cell r="E573">
            <v>40933</v>
          </cell>
          <cell r="F573" t="str">
            <v>TIER 2</v>
          </cell>
          <cell r="G573" t="str">
            <v>UNSKILLED</v>
          </cell>
          <cell r="H573">
            <v>400</v>
          </cell>
          <cell r="I573">
            <v>40360</v>
          </cell>
        </row>
        <row r="574">
          <cell r="A574" t="str">
            <v>BALAMURUGAN A/L RANGGASAMY</v>
          </cell>
          <cell r="B574" t="str">
            <v>5 37401583</v>
          </cell>
          <cell r="C574">
            <v>40182</v>
          </cell>
          <cell r="D574" t="str">
            <v>WP LIVE</v>
          </cell>
          <cell r="E574">
            <v>40929</v>
          </cell>
          <cell r="F574" t="str">
            <v>TIER 2</v>
          </cell>
          <cell r="G574" t="str">
            <v>UNSKILLED</v>
          </cell>
          <cell r="H574">
            <v>400</v>
          </cell>
          <cell r="I574">
            <v>40725</v>
          </cell>
        </row>
        <row r="575">
          <cell r="A575" t="str">
            <v>BAO XIAOHONG</v>
          </cell>
          <cell r="B575" t="str">
            <v>0 73461502</v>
          </cell>
          <cell r="C575">
            <v>40007</v>
          </cell>
          <cell r="D575" t="str">
            <v>WP LIVE</v>
          </cell>
          <cell r="E575">
            <v>40737</v>
          </cell>
          <cell r="F575" t="str">
            <v>TIER 2</v>
          </cell>
          <cell r="G575" t="str">
            <v>UNSKILLED</v>
          </cell>
          <cell r="H575">
            <v>400</v>
          </cell>
          <cell r="I575">
            <v>40725</v>
          </cell>
        </row>
        <row r="576">
          <cell r="A576" t="str">
            <v>BARBARA A/P SANDANAM</v>
          </cell>
          <cell r="B576" t="str">
            <v>3 67386983</v>
          </cell>
          <cell r="C576">
            <v>39724</v>
          </cell>
          <cell r="D576" t="str">
            <v>WP LIVE</v>
          </cell>
          <cell r="E576">
            <v>40993</v>
          </cell>
          <cell r="F576" t="str">
            <v>TIER 2</v>
          </cell>
          <cell r="G576" t="str">
            <v>UNSKILLED</v>
          </cell>
          <cell r="H576">
            <v>400</v>
          </cell>
          <cell r="I576">
            <v>40725</v>
          </cell>
        </row>
        <row r="577">
          <cell r="A577" t="str">
            <v>BATHMARANI A/P RASLINGGAM</v>
          </cell>
          <cell r="B577" t="str">
            <v>4 03175331</v>
          </cell>
          <cell r="C577">
            <v>40031</v>
          </cell>
          <cell r="D577" t="str">
            <v>WP LIVE</v>
          </cell>
          <cell r="E577">
            <v>40786</v>
          </cell>
          <cell r="F577" t="str">
            <v>TIER 2</v>
          </cell>
          <cell r="G577" t="str">
            <v>UNSKILLED</v>
          </cell>
          <cell r="H577">
            <v>400</v>
          </cell>
          <cell r="I577">
            <v>40725</v>
          </cell>
        </row>
        <row r="578">
          <cell r="A578" t="str">
            <v>BATHMAWADI A/P MARIMUTHU</v>
          </cell>
          <cell r="B578" t="str">
            <v>3 5772595-</v>
          </cell>
          <cell r="C578">
            <v>38723</v>
          </cell>
          <cell r="D578" t="str">
            <v>WP LIVE</v>
          </cell>
          <cell r="E578">
            <v>41216</v>
          </cell>
          <cell r="F578" t="str">
            <v>TIER 2</v>
          </cell>
          <cell r="G578" t="str">
            <v>UNSKILLED</v>
          </cell>
          <cell r="H578">
            <v>400</v>
          </cell>
          <cell r="I578">
            <v>40725</v>
          </cell>
        </row>
        <row r="579">
          <cell r="A579" t="str">
            <v>BATUMALAI A/P MARIE</v>
          </cell>
          <cell r="B579" t="str">
            <v>5 23151355</v>
          </cell>
          <cell r="C579">
            <v>39708</v>
          </cell>
          <cell r="D579" t="str">
            <v>WP LIVE</v>
          </cell>
          <cell r="E579">
            <v>40795</v>
          </cell>
          <cell r="F579" t="str">
            <v>TIER 2</v>
          </cell>
          <cell r="G579" t="str">
            <v>UNSKILLED</v>
          </cell>
          <cell r="H579">
            <v>400</v>
          </cell>
          <cell r="I579">
            <v>40725</v>
          </cell>
        </row>
        <row r="580">
          <cell r="A580" t="str">
            <v>BEN XIUPING</v>
          </cell>
          <cell r="B580" t="str">
            <v>0 73903262</v>
          </cell>
          <cell r="C580">
            <v>40323</v>
          </cell>
          <cell r="D580" t="str">
            <v>WP LIVE</v>
          </cell>
          <cell r="E580">
            <v>41059</v>
          </cell>
          <cell r="F580" t="str">
            <v>TIER 2</v>
          </cell>
          <cell r="G580" t="str">
            <v>UNSKILLED</v>
          </cell>
          <cell r="H580">
            <v>400</v>
          </cell>
          <cell r="I580">
            <v>40323</v>
          </cell>
        </row>
        <row r="581">
          <cell r="A581" t="str">
            <v>BUJANG BIN EMBIR</v>
          </cell>
          <cell r="B581" t="str">
            <v>8 07906283</v>
          </cell>
          <cell r="C581">
            <v>40205</v>
          </cell>
          <cell r="D581" t="str">
            <v>WP LIVE</v>
          </cell>
          <cell r="E581">
            <v>41117</v>
          </cell>
          <cell r="F581" t="str">
            <v>TIER 2</v>
          </cell>
          <cell r="G581" t="str">
            <v>UNSKILLED</v>
          </cell>
          <cell r="H581">
            <v>400</v>
          </cell>
          <cell r="I581">
            <v>40725</v>
          </cell>
        </row>
        <row r="582">
          <cell r="A582" t="str">
            <v>CAI LAIFENG</v>
          </cell>
          <cell r="B582" t="str">
            <v>0 73758270</v>
          </cell>
          <cell r="C582">
            <v>40249</v>
          </cell>
          <cell r="D582" t="str">
            <v>WP LIVE</v>
          </cell>
          <cell r="E582">
            <v>40989</v>
          </cell>
          <cell r="F582" t="str">
            <v>TIER 2</v>
          </cell>
          <cell r="G582" t="str">
            <v>UNSKILLED</v>
          </cell>
          <cell r="H582">
            <v>400</v>
          </cell>
          <cell r="I582">
            <v>40249</v>
          </cell>
        </row>
        <row r="583">
          <cell r="A583" t="str">
            <v>CAO CHENXIA</v>
          </cell>
          <cell r="B583" t="str">
            <v>0 74010768</v>
          </cell>
          <cell r="C583">
            <v>40387</v>
          </cell>
          <cell r="D583" t="str">
            <v>WP LIVE</v>
          </cell>
          <cell r="E583">
            <v>41125</v>
          </cell>
          <cell r="F583" t="str">
            <v>TIER 2</v>
          </cell>
          <cell r="G583" t="str">
            <v>UNSKILLED</v>
          </cell>
          <cell r="H583">
            <v>400</v>
          </cell>
          <cell r="I583">
            <v>40725</v>
          </cell>
        </row>
        <row r="584">
          <cell r="A584" t="str">
            <v>CAO SAIHUA</v>
          </cell>
          <cell r="B584" t="str">
            <v>0 73903211</v>
          </cell>
          <cell r="C584">
            <v>40323</v>
          </cell>
          <cell r="D584" t="str">
            <v>WP LIVE</v>
          </cell>
          <cell r="E584">
            <v>41059</v>
          </cell>
          <cell r="F584" t="str">
            <v>TIER 2</v>
          </cell>
          <cell r="G584" t="str">
            <v>UNSKILLED</v>
          </cell>
          <cell r="H584">
            <v>400</v>
          </cell>
          <cell r="I584">
            <v>40360</v>
          </cell>
        </row>
        <row r="585">
          <cell r="A585" t="str">
            <v>CHAN AH YOON</v>
          </cell>
          <cell r="B585" t="str">
            <v>3 47009954</v>
          </cell>
          <cell r="C585">
            <v>39720</v>
          </cell>
          <cell r="D585" t="str">
            <v>WP LIVE</v>
          </cell>
          <cell r="E585">
            <v>41184</v>
          </cell>
          <cell r="F585" t="str">
            <v>TIER 2</v>
          </cell>
          <cell r="G585" t="str">
            <v>UNSKILLED</v>
          </cell>
          <cell r="H585">
            <v>400</v>
          </cell>
          <cell r="I585">
            <v>40725</v>
          </cell>
        </row>
        <row r="586">
          <cell r="A586" t="str">
            <v>CHAN PEI KHEONG</v>
          </cell>
          <cell r="B586" t="str">
            <v>3 71478876</v>
          </cell>
          <cell r="C586">
            <v>39666</v>
          </cell>
          <cell r="D586" t="str">
            <v>WP LIVE</v>
          </cell>
          <cell r="E586">
            <v>40956</v>
          </cell>
          <cell r="F586" t="str">
            <v>TIER 2</v>
          </cell>
          <cell r="G586" t="str">
            <v>UNSKILLED</v>
          </cell>
          <cell r="H586">
            <v>400</v>
          </cell>
          <cell r="I586">
            <v>40725</v>
          </cell>
        </row>
        <row r="587">
          <cell r="A587" t="str">
            <v>CHAN SEW HUA</v>
          </cell>
          <cell r="B587" t="str">
            <v>3 58736467</v>
          </cell>
          <cell r="C587">
            <v>40154</v>
          </cell>
          <cell r="D587" t="str">
            <v>WP LIVE</v>
          </cell>
          <cell r="E587">
            <v>40900</v>
          </cell>
          <cell r="F587" t="str">
            <v>TIER 2</v>
          </cell>
          <cell r="G587" t="str">
            <v>UNSKILLED</v>
          </cell>
          <cell r="H587">
            <v>400</v>
          </cell>
          <cell r="I587">
            <v>40154</v>
          </cell>
        </row>
        <row r="588">
          <cell r="A588" t="str">
            <v>CHAN SIEW FOONG</v>
          </cell>
          <cell r="B588" t="str">
            <v>3 63621910</v>
          </cell>
          <cell r="C588">
            <v>39063</v>
          </cell>
          <cell r="D588" t="str">
            <v>WP LIVE</v>
          </cell>
          <cell r="E588">
            <v>41261</v>
          </cell>
          <cell r="F588" t="str">
            <v>TIER 2</v>
          </cell>
          <cell r="G588" t="str">
            <v>UNSKILLED</v>
          </cell>
          <cell r="H588">
            <v>400</v>
          </cell>
          <cell r="I588">
            <v>40725</v>
          </cell>
        </row>
        <row r="589">
          <cell r="A589" t="str">
            <v>CHANDA KUMARI A/P KUNJURAMAN</v>
          </cell>
          <cell r="B589" t="str">
            <v>5 18843966</v>
          </cell>
          <cell r="C589">
            <v>39820</v>
          </cell>
          <cell r="D589" t="str">
            <v>WP LIVE</v>
          </cell>
          <cell r="E589">
            <v>41286</v>
          </cell>
          <cell r="F589" t="str">
            <v>TIER 2</v>
          </cell>
          <cell r="G589" t="str">
            <v>UNSKILLED</v>
          </cell>
          <cell r="H589">
            <v>400</v>
          </cell>
          <cell r="I589">
            <v>40725</v>
          </cell>
        </row>
        <row r="590">
          <cell r="A590" t="str">
            <v>CHANDIE ANAK NAROK</v>
          </cell>
          <cell r="B590" t="str">
            <v>8 91048378</v>
          </cell>
          <cell r="C590">
            <v>40309</v>
          </cell>
          <cell r="D590" t="str">
            <v>WP LIVE</v>
          </cell>
          <cell r="E590">
            <v>40865</v>
          </cell>
          <cell r="F590" t="str">
            <v>TIER 2</v>
          </cell>
          <cell r="G590" t="str">
            <v>UNSKILLED</v>
          </cell>
          <cell r="H590">
            <v>400</v>
          </cell>
          <cell r="I590">
            <v>40360</v>
          </cell>
        </row>
        <row r="591">
          <cell r="A591" t="str">
            <v>CHANDRA A/P SAVARAMUTHU</v>
          </cell>
          <cell r="B591" t="str">
            <v>3 70380015</v>
          </cell>
          <cell r="C591">
            <v>39783</v>
          </cell>
          <cell r="D591" t="str">
            <v>WP LIVE</v>
          </cell>
          <cell r="E591">
            <v>41257</v>
          </cell>
          <cell r="F591" t="str">
            <v>TIER 2</v>
          </cell>
          <cell r="G591" t="str">
            <v>UNSKILLED</v>
          </cell>
          <cell r="H591">
            <v>400</v>
          </cell>
          <cell r="I591">
            <v>39845</v>
          </cell>
        </row>
        <row r="592">
          <cell r="A592" t="str">
            <v>CHANDRAKALA A/P ARUMUGAM</v>
          </cell>
          <cell r="B592" t="str">
            <v>4 01649859</v>
          </cell>
          <cell r="C592">
            <v>40420</v>
          </cell>
          <cell r="D592" t="str">
            <v>WP LIVE</v>
          </cell>
          <cell r="E592">
            <v>41166</v>
          </cell>
          <cell r="F592" t="str">
            <v>TIER 2</v>
          </cell>
          <cell r="G592" t="str">
            <v>UNSKILLED</v>
          </cell>
          <cell r="H592">
            <v>400</v>
          </cell>
          <cell r="I592">
            <v>40725</v>
          </cell>
        </row>
        <row r="593">
          <cell r="A593" t="str">
            <v>CHANDRAN A/L BOLAIR SINGH</v>
          </cell>
          <cell r="B593" t="str">
            <v>5 38419583</v>
          </cell>
          <cell r="C593">
            <v>40312</v>
          </cell>
          <cell r="D593" t="str">
            <v>WP LIVE</v>
          </cell>
          <cell r="E593">
            <v>40822</v>
          </cell>
          <cell r="F593" t="str">
            <v>TIER 2</v>
          </cell>
          <cell r="G593" t="str">
            <v>UNSKILLED</v>
          </cell>
          <cell r="H593">
            <v>400</v>
          </cell>
          <cell r="I593">
            <v>40360</v>
          </cell>
        </row>
        <row r="594">
          <cell r="A594" t="str">
            <v>CHE W RUSARIZAN BIN CHE W MAT RANI</v>
          </cell>
          <cell r="B594" t="str">
            <v>5 37200138</v>
          </cell>
          <cell r="C594">
            <v>40497</v>
          </cell>
          <cell r="D594" t="str">
            <v>WP LIVE</v>
          </cell>
          <cell r="E594">
            <v>40853</v>
          </cell>
          <cell r="F594" t="str">
            <v>TIER 2</v>
          </cell>
          <cell r="G594" t="str">
            <v>UNSKILLED</v>
          </cell>
          <cell r="H594">
            <v>400</v>
          </cell>
          <cell r="I594">
            <v>40725</v>
          </cell>
        </row>
        <row r="595">
          <cell r="A595" t="str">
            <v>CHEE KHIM SAN</v>
          </cell>
          <cell r="B595" t="str">
            <v>3 51377763</v>
          </cell>
          <cell r="C595">
            <v>40501</v>
          </cell>
          <cell r="D595" t="str">
            <v>WP LIVE</v>
          </cell>
          <cell r="E595">
            <v>41248</v>
          </cell>
          <cell r="F595" t="str">
            <v>TIER 2</v>
          </cell>
          <cell r="G595" t="str">
            <v>UNSKILLED</v>
          </cell>
          <cell r="H595">
            <v>400</v>
          </cell>
          <cell r="I595">
            <v>40725</v>
          </cell>
        </row>
        <row r="596">
          <cell r="A596" t="str">
            <v>CHELVI A/P CHINNIAH</v>
          </cell>
          <cell r="B596" t="str">
            <v>5 18197800</v>
          </cell>
          <cell r="C596">
            <v>38615</v>
          </cell>
          <cell r="D596" t="str">
            <v>WP LIVE</v>
          </cell>
          <cell r="E596">
            <v>41105</v>
          </cell>
          <cell r="F596" t="str">
            <v>TIER 2</v>
          </cell>
          <cell r="G596" t="str">
            <v>UNSKILLED</v>
          </cell>
          <cell r="H596">
            <v>400</v>
          </cell>
          <cell r="I596">
            <v>40725</v>
          </cell>
        </row>
        <row r="597">
          <cell r="A597" t="str">
            <v>CHEN DAOXIONG</v>
          </cell>
          <cell r="B597" t="str">
            <v>0 57120800</v>
          </cell>
          <cell r="C597">
            <v>39771</v>
          </cell>
          <cell r="D597" t="str">
            <v>WP LIVE</v>
          </cell>
          <cell r="E597">
            <v>40815</v>
          </cell>
          <cell r="F597" t="str">
            <v>TIER 2</v>
          </cell>
          <cell r="G597" t="str">
            <v>UNSKILLED</v>
          </cell>
          <cell r="H597">
            <v>400</v>
          </cell>
          <cell r="I597">
            <v>40725</v>
          </cell>
        </row>
        <row r="598">
          <cell r="A598" t="str">
            <v>CHEN GUANGQIN</v>
          </cell>
          <cell r="B598" t="str">
            <v>0 74023401</v>
          </cell>
          <cell r="C598">
            <v>40395</v>
          </cell>
          <cell r="D598" t="str">
            <v>WP LIVE</v>
          </cell>
          <cell r="E598">
            <v>41132</v>
          </cell>
          <cell r="F598" t="str">
            <v>TIER 2</v>
          </cell>
          <cell r="G598" t="str">
            <v>UNSKILLED</v>
          </cell>
          <cell r="H598">
            <v>400</v>
          </cell>
          <cell r="I598">
            <v>40725</v>
          </cell>
        </row>
        <row r="599">
          <cell r="A599" t="str">
            <v>CHEN HAI MEI</v>
          </cell>
          <cell r="B599" t="str">
            <v>0 73920566</v>
          </cell>
          <cell r="C599">
            <v>40336</v>
          </cell>
          <cell r="D599" t="str">
            <v>WP LIVE</v>
          </cell>
          <cell r="E599">
            <v>41070</v>
          </cell>
          <cell r="F599" t="str">
            <v>TIER 2</v>
          </cell>
          <cell r="G599" t="str">
            <v>UNSKILLED</v>
          </cell>
          <cell r="H599">
            <v>400</v>
          </cell>
          <cell r="I599">
            <v>40360</v>
          </cell>
        </row>
        <row r="600">
          <cell r="A600" t="str">
            <v>CHEN HONGXING</v>
          </cell>
          <cell r="B600" t="str">
            <v>0 73820383</v>
          </cell>
          <cell r="C600">
            <v>40282</v>
          </cell>
          <cell r="D600" t="str">
            <v>WP LIVE</v>
          </cell>
          <cell r="E600">
            <v>41024</v>
          </cell>
          <cell r="F600" t="str">
            <v>TIER 2</v>
          </cell>
          <cell r="G600" t="str">
            <v>UNSKILLED</v>
          </cell>
          <cell r="H600">
            <v>400</v>
          </cell>
          <cell r="I600">
            <v>40282</v>
          </cell>
        </row>
        <row r="601">
          <cell r="A601" t="str">
            <v>CHEN LIPING</v>
          </cell>
          <cell r="B601" t="str">
            <v>0 73903157</v>
          </cell>
          <cell r="C601">
            <v>40323</v>
          </cell>
          <cell r="D601" t="str">
            <v>WP LIVE</v>
          </cell>
          <cell r="E601">
            <v>41399</v>
          </cell>
          <cell r="F601" t="str">
            <v>TIER 2</v>
          </cell>
          <cell r="G601" t="str">
            <v>UNSKILLED</v>
          </cell>
          <cell r="H601">
            <v>400</v>
          </cell>
          <cell r="I601">
            <v>40725</v>
          </cell>
        </row>
        <row r="602">
          <cell r="A602" t="str">
            <v>CHEN XIUHUA</v>
          </cell>
          <cell r="B602" t="str">
            <v>0 73903130</v>
          </cell>
          <cell r="C602">
            <v>40323</v>
          </cell>
          <cell r="D602" t="str">
            <v>WP LIVE</v>
          </cell>
          <cell r="E602">
            <v>41059</v>
          </cell>
          <cell r="F602" t="str">
            <v>TIER 2</v>
          </cell>
          <cell r="G602" t="str">
            <v>UNSKILLED</v>
          </cell>
          <cell r="H602">
            <v>400</v>
          </cell>
          <cell r="I602">
            <v>40323</v>
          </cell>
        </row>
        <row r="603">
          <cell r="A603" t="str">
            <v>CHEW SAY MOOI</v>
          </cell>
          <cell r="B603" t="str">
            <v>3 57528054</v>
          </cell>
          <cell r="C603">
            <v>40154</v>
          </cell>
          <cell r="D603" t="str">
            <v>WP LIVE</v>
          </cell>
          <cell r="E603">
            <v>40828</v>
          </cell>
          <cell r="F603" t="str">
            <v>TIER 2</v>
          </cell>
          <cell r="G603" t="str">
            <v>UNSKILLED</v>
          </cell>
          <cell r="H603">
            <v>400</v>
          </cell>
          <cell r="I603">
            <v>40154</v>
          </cell>
        </row>
        <row r="604">
          <cell r="A604" t="str">
            <v>CHINNAMMAL A/P RAMUDU</v>
          </cell>
          <cell r="B604" t="str">
            <v>4 03069914</v>
          </cell>
          <cell r="C604">
            <v>39902</v>
          </cell>
          <cell r="D604" t="str">
            <v>WP LIVE</v>
          </cell>
          <cell r="E604">
            <v>41386</v>
          </cell>
          <cell r="F604" t="str">
            <v>TIER 2</v>
          </cell>
          <cell r="G604" t="str">
            <v>UNSKILLED</v>
          </cell>
          <cell r="H604">
            <v>400</v>
          </cell>
          <cell r="I604">
            <v>40725</v>
          </cell>
        </row>
        <row r="605">
          <cell r="A605" t="str">
            <v>CHO CHUN HEN</v>
          </cell>
          <cell r="B605" t="str">
            <v>3 83668387</v>
          </cell>
          <cell r="C605">
            <v>39720</v>
          </cell>
          <cell r="D605" t="str">
            <v>WP LIVE</v>
          </cell>
          <cell r="E605">
            <v>40784</v>
          </cell>
          <cell r="F605" t="str">
            <v>TIER 2</v>
          </cell>
          <cell r="G605" t="str">
            <v>UNSKILLED</v>
          </cell>
          <cell r="H605">
            <v>400</v>
          </cell>
          <cell r="I605">
            <v>39720</v>
          </cell>
        </row>
        <row r="606">
          <cell r="A606" t="str">
            <v>CHOLAN A/L THANGAYA</v>
          </cell>
          <cell r="B606" t="str">
            <v>5 15998489</v>
          </cell>
          <cell r="C606">
            <v>40248</v>
          </cell>
          <cell r="D606" t="str">
            <v>WP LIVE</v>
          </cell>
          <cell r="E606">
            <v>40891</v>
          </cell>
          <cell r="F606" t="str">
            <v>TIER 2</v>
          </cell>
          <cell r="G606" t="str">
            <v>UNSKILLED</v>
          </cell>
          <cell r="H606">
            <v>400</v>
          </cell>
          <cell r="I606">
            <v>40248</v>
          </cell>
        </row>
        <row r="607">
          <cell r="A607" t="str">
            <v>CHONG AH KOK</v>
          </cell>
          <cell r="B607" t="str">
            <v>5 15631968</v>
          </cell>
          <cell r="C607">
            <v>39848</v>
          </cell>
          <cell r="D607" t="str">
            <v>WP LIVE</v>
          </cell>
          <cell r="E607">
            <v>41280</v>
          </cell>
          <cell r="F607" t="str">
            <v>TIER 2</v>
          </cell>
          <cell r="G607" t="str">
            <v>UNSKILLED</v>
          </cell>
          <cell r="H607">
            <v>400</v>
          </cell>
          <cell r="I607">
            <v>39848</v>
          </cell>
        </row>
        <row r="608">
          <cell r="A608" t="str">
            <v>CHONG JIA ZHONG</v>
          </cell>
          <cell r="B608" t="str">
            <v>0 73979757</v>
          </cell>
          <cell r="C608">
            <v>40372</v>
          </cell>
          <cell r="D608" t="str">
            <v>WP LIVE</v>
          </cell>
          <cell r="E608">
            <v>41108</v>
          </cell>
          <cell r="F608" t="str">
            <v>TIER 2</v>
          </cell>
          <cell r="G608" t="str">
            <v>UNSKILLED</v>
          </cell>
          <cell r="H608">
            <v>400</v>
          </cell>
          <cell r="I608">
            <v>40725</v>
          </cell>
        </row>
        <row r="609">
          <cell r="A609" t="str">
            <v>CHONG TUCK ONN</v>
          </cell>
          <cell r="B609" t="str">
            <v>3 81863875</v>
          </cell>
          <cell r="C609">
            <v>40379</v>
          </cell>
          <cell r="D609" t="str">
            <v>WP LIVE</v>
          </cell>
          <cell r="E609">
            <v>41098</v>
          </cell>
          <cell r="F609" t="str">
            <v>TIER 2</v>
          </cell>
          <cell r="G609" t="str">
            <v>UNSKILLED</v>
          </cell>
          <cell r="H609">
            <v>400</v>
          </cell>
          <cell r="I609">
            <v>40379</v>
          </cell>
        </row>
        <row r="610">
          <cell r="A610" t="str">
            <v>CHOO KOK WHA</v>
          </cell>
          <cell r="B610" t="str">
            <v>5 08162588</v>
          </cell>
          <cell r="C610">
            <v>40276</v>
          </cell>
          <cell r="D610" t="str">
            <v>WP LIVE</v>
          </cell>
          <cell r="E610">
            <v>41025</v>
          </cell>
          <cell r="F610" t="str">
            <v>TIER 2</v>
          </cell>
          <cell r="G610" t="str">
            <v>UNSKILLED</v>
          </cell>
          <cell r="H610">
            <v>400</v>
          </cell>
          <cell r="I610">
            <v>40360</v>
          </cell>
        </row>
        <row r="611">
          <cell r="A611" t="str">
            <v>CHOO LEH YIING</v>
          </cell>
          <cell r="B611" t="str">
            <v>8 06946362</v>
          </cell>
          <cell r="C611">
            <v>38920</v>
          </cell>
          <cell r="D611" t="str">
            <v>WP LIVE</v>
          </cell>
          <cell r="E611">
            <v>41014</v>
          </cell>
          <cell r="F611" t="str">
            <v>TIER 2</v>
          </cell>
          <cell r="G611" t="str">
            <v>UNSKILLED</v>
          </cell>
          <cell r="H611">
            <v>400</v>
          </cell>
          <cell r="I611">
            <v>40725</v>
          </cell>
        </row>
        <row r="612">
          <cell r="A612" t="str">
            <v>CHOONG SAY MOY</v>
          </cell>
          <cell r="B612" t="str">
            <v>3 32336029</v>
          </cell>
          <cell r="C612">
            <v>39720</v>
          </cell>
          <cell r="D612" t="str">
            <v>WP LIVE</v>
          </cell>
          <cell r="E612">
            <v>41197</v>
          </cell>
          <cell r="F612" t="str">
            <v>TIER 2</v>
          </cell>
          <cell r="G612" t="str">
            <v>UNSKILLED</v>
          </cell>
          <cell r="H612">
            <v>400</v>
          </cell>
          <cell r="I612">
            <v>39720</v>
          </cell>
        </row>
        <row r="613">
          <cell r="A613" t="str">
            <v>CHU KWEE NGO</v>
          </cell>
          <cell r="B613" t="str">
            <v>5 03222957</v>
          </cell>
          <cell r="C613">
            <v>40161</v>
          </cell>
          <cell r="D613" t="str">
            <v>WP LIVE</v>
          </cell>
          <cell r="E613">
            <v>40839</v>
          </cell>
          <cell r="F613" t="str">
            <v>TIER 2</v>
          </cell>
          <cell r="G613" t="str">
            <v>UNSKILLED</v>
          </cell>
          <cell r="H613">
            <v>400</v>
          </cell>
          <cell r="I613">
            <v>40725</v>
          </cell>
        </row>
        <row r="614">
          <cell r="A614" t="str">
            <v>DAYANG DAMIT BINTI MARDAN</v>
          </cell>
          <cell r="B614" t="str">
            <v>6 08272992</v>
          </cell>
          <cell r="C614">
            <v>40368</v>
          </cell>
          <cell r="D614" t="str">
            <v>WP LIVE</v>
          </cell>
          <cell r="E614">
            <v>41295</v>
          </cell>
          <cell r="F614" t="str">
            <v>TIER 2</v>
          </cell>
          <cell r="G614" t="str">
            <v>UNSKILLED</v>
          </cell>
          <cell r="H614">
            <v>400</v>
          </cell>
          <cell r="I614">
            <v>40725</v>
          </cell>
        </row>
        <row r="615">
          <cell r="A615" t="str">
            <v>DEVAHI A/P MARUTHAI</v>
          </cell>
          <cell r="B615" t="str">
            <v>3 64127286</v>
          </cell>
          <cell r="C615">
            <v>39387</v>
          </cell>
          <cell r="D615" t="str">
            <v>WP LIVE</v>
          </cell>
          <cell r="E615">
            <v>40869</v>
          </cell>
          <cell r="F615" t="str">
            <v>TIER 2</v>
          </cell>
          <cell r="G615" t="str">
            <v>UNSKILLED</v>
          </cell>
          <cell r="H615">
            <v>400</v>
          </cell>
          <cell r="I615">
            <v>40725</v>
          </cell>
        </row>
        <row r="616">
          <cell r="A616" t="str">
            <v>DEVIKA A/P KUPPUSAMY</v>
          </cell>
          <cell r="B616" t="str">
            <v>3 69553623</v>
          </cell>
          <cell r="C616">
            <v>40344</v>
          </cell>
          <cell r="D616" t="str">
            <v>WP LIVE</v>
          </cell>
          <cell r="E616">
            <v>40994</v>
          </cell>
          <cell r="F616" t="str">
            <v>TIER 2</v>
          </cell>
          <cell r="G616" t="str">
            <v>UNSKILLED</v>
          </cell>
          <cell r="H616">
            <v>400</v>
          </cell>
          <cell r="I616">
            <v>40360</v>
          </cell>
        </row>
        <row r="617">
          <cell r="A617" t="str">
            <v>DEWAGI A/P CHELLAPAN</v>
          </cell>
          <cell r="B617" t="str">
            <v>3 60748332</v>
          </cell>
          <cell r="C617">
            <v>40246</v>
          </cell>
          <cell r="D617" t="str">
            <v>WP LIVE</v>
          </cell>
          <cell r="E617">
            <v>40983</v>
          </cell>
          <cell r="F617" t="str">
            <v>TIER 2</v>
          </cell>
          <cell r="G617" t="str">
            <v>UNSKILLED</v>
          </cell>
          <cell r="H617">
            <v>400</v>
          </cell>
          <cell r="I617">
            <v>40725</v>
          </cell>
        </row>
        <row r="618">
          <cell r="A618" t="str">
            <v>DHANA LETCHIMI A/P GOVINDAN</v>
          </cell>
          <cell r="B618" t="str">
            <v>3 68029998</v>
          </cell>
          <cell r="C618">
            <v>40233</v>
          </cell>
          <cell r="D618" t="str">
            <v>WP LIVE</v>
          </cell>
          <cell r="E618">
            <v>40969</v>
          </cell>
          <cell r="F618" t="str">
            <v>TIER 2</v>
          </cell>
          <cell r="G618" t="str">
            <v>UNSKILLED</v>
          </cell>
          <cell r="H618">
            <v>400</v>
          </cell>
          <cell r="I618">
            <v>40233</v>
          </cell>
        </row>
        <row r="619">
          <cell r="A619" t="str">
            <v>DHANAPHOOSHANI A/P RAMAN</v>
          </cell>
          <cell r="B619" t="str">
            <v>3 83997089</v>
          </cell>
          <cell r="C619">
            <v>40402</v>
          </cell>
          <cell r="D619" t="str">
            <v>WP LIVE</v>
          </cell>
          <cell r="E619">
            <v>40751</v>
          </cell>
          <cell r="F619" t="str">
            <v>TIER 2</v>
          </cell>
          <cell r="G619" t="str">
            <v>UNSKILLED</v>
          </cell>
          <cell r="H619">
            <v>400</v>
          </cell>
          <cell r="I619">
            <v>40402</v>
          </cell>
        </row>
        <row r="620">
          <cell r="A620" t="str">
            <v>DHURGESWARI A/P THIYAGARAJAN</v>
          </cell>
          <cell r="B620" t="str">
            <v>4 01024867</v>
          </cell>
          <cell r="C620">
            <v>40360</v>
          </cell>
          <cell r="D620" t="str">
            <v>WP LIVE</v>
          </cell>
          <cell r="E620">
            <v>41023</v>
          </cell>
          <cell r="F620" t="str">
            <v>TIER 2</v>
          </cell>
          <cell r="G620" t="str">
            <v>UNSKILLED</v>
          </cell>
          <cell r="H620">
            <v>400</v>
          </cell>
          <cell r="I620">
            <v>40725</v>
          </cell>
        </row>
        <row r="621">
          <cell r="A621" t="str">
            <v>DINESH KUMAR A/L ALAGARSAMY</v>
          </cell>
          <cell r="B621" t="str">
            <v>4 03592641</v>
          </cell>
          <cell r="C621">
            <v>40497</v>
          </cell>
          <cell r="D621" t="str">
            <v>WP LIVE</v>
          </cell>
          <cell r="E621">
            <v>41237</v>
          </cell>
          <cell r="F621" t="str">
            <v>TIER 2</v>
          </cell>
          <cell r="G621" t="str">
            <v>UNSKILLED</v>
          </cell>
          <cell r="H621">
            <v>400</v>
          </cell>
          <cell r="I621">
            <v>40725</v>
          </cell>
        </row>
        <row r="622">
          <cell r="A622" t="str">
            <v>DONG JINGLI</v>
          </cell>
          <cell r="B622" t="str">
            <v>0 73461588</v>
          </cell>
          <cell r="C622">
            <v>40007</v>
          </cell>
          <cell r="D622" t="str">
            <v>WP LIVE</v>
          </cell>
          <cell r="E622">
            <v>40737</v>
          </cell>
          <cell r="F622" t="str">
            <v>TIER 2</v>
          </cell>
          <cell r="G622" t="str">
            <v>UNSKILLED</v>
          </cell>
          <cell r="H622">
            <v>400</v>
          </cell>
          <cell r="I622">
            <v>40725</v>
          </cell>
        </row>
        <row r="623">
          <cell r="A623" t="str">
            <v>DU BAIYUN</v>
          </cell>
          <cell r="B623" t="str">
            <v>0 7393298-</v>
          </cell>
          <cell r="C623">
            <v>40343</v>
          </cell>
          <cell r="D623" t="str">
            <v>WP LIVE</v>
          </cell>
          <cell r="E623">
            <v>41077</v>
          </cell>
          <cell r="F623" t="str">
            <v>TIER 2</v>
          </cell>
          <cell r="G623" t="str">
            <v>UNSKILLED</v>
          </cell>
          <cell r="H623">
            <v>400</v>
          </cell>
          <cell r="I623">
            <v>40360</v>
          </cell>
        </row>
        <row r="624">
          <cell r="A624" t="str">
            <v>DURAHMAN BIN BUSTAMI</v>
          </cell>
          <cell r="B624" t="str">
            <v>4 02625244</v>
          </cell>
          <cell r="C624">
            <v>39302</v>
          </cell>
          <cell r="D624" t="str">
            <v>WP LIVE</v>
          </cell>
          <cell r="E624">
            <v>40778</v>
          </cell>
          <cell r="F624" t="str">
            <v>TIER 2</v>
          </cell>
          <cell r="G624" t="str">
            <v>UNSKILLED</v>
          </cell>
          <cell r="H624">
            <v>400</v>
          </cell>
          <cell r="I624">
            <v>40725</v>
          </cell>
        </row>
        <row r="625">
          <cell r="A625" t="str">
            <v>DURAI RAJ A/L NARAYANAN</v>
          </cell>
          <cell r="B625" t="str">
            <v>4 00455716</v>
          </cell>
          <cell r="C625">
            <v>40177</v>
          </cell>
          <cell r="D625" t="str">
            <v>WP LIVE</v>
          </cell>
          <cell r="E625">
            <v>41360</v>
          </cell>
          <cell r="F625" t="str">
            <v>TIER 2</v>
          </cell>
          <cell r="G625" t="str">
            <v>UNSKILLED</v>
          </cell>
          <cell r="H625">
            <v>400</v>
          </cell>
          <cell r="I625">
            <v>40725</v>
          </cell>
        </row>
        <row r="626">
          <cell r="A626" t="str">
            <v>ENDRA BIN LAKIM</v>
          </cell>
          <cell r="B626" t="str">
            <v>4 02656719</v>
          </cell>
          <cell r="C626">
            <v>40190</v>
          </cell>
          <cell r="D626" t="str">
            <v>WP LIVE</v>
          </cell>
          <cell r="E626">
            <v>40936</v>
          </cell>
          <cell r="F626" t="str">
            <v>TIER 2</v>
          </cell>
          <cell r="G626" t="str">
            <v>UNSKILLED</v>
          </cell>
          <cell r="H626">
            <v>400</v>
          </cell>
          <cell r="I626">
            <v>40725</v>
          </cell>
        </row>
        <row r="627">
          <cell r="A627" t="str">
            <v>ESOTHA A/P BALAKRISHNAN</v>
          </cell>
          <cell r="B627" t="str">
            <v>4 0328825-</v>
          </cell>
          <cell r="C627">
            <v>40196</v>
          </cell>
          <cell r="D627" t="str">
            <v>WP LIVE</v>
          </cell>
          <cell r="E627">
            <v>40935</v>
          </cell>
          <cell r="F627" t="str">
            <v>TIER 2</v>
          </cell>
          <cell r="G627" t="str">
            <v>UNSKILLED</v>
          </cell>
          <cell r="H627">
            <v>400</v>
          </cell>
          <cell r="I627">
            <v>40725</v>
          </cell>
        </row>
        <row r="628">
          <cell r="A628" t="str">
            <v>ESWARY A/P GOVINDASAMY</v>
          </cell>
          <cell r="B628" t="str">
            <v>5 25870197</v>
          </cell>
          <cell r="C628">
            <v>40492</v>
          </cell>
          <cell r="D628" t="str">
            <v>WP LIVE</v>
          </cell>
          <cell r="E628">
            <v>41174</v>
          </cell>
          <cell r="F628" t="str">
            <v>TIER 2</v>
          </cell>
          <cell r="G628" t="str">
            <v>UNSKILLED</v>
          </cell>
          <cell r="H628">
            <v>400</v>
          </cell>
          <cell r="I628">
            <v>40725</v>
          </cell>
        </row>
        <row r="629">
          <cell r="A629" t="str">
            <v>FAN JI NENG</v>
          </cell>
          <cell r="B629" t="str">
            <v>0 74023592</v>
          </cell>
          <cell r="C629">
            <v>40395</v>
          </cell>
          <cell r="D629" t="str">
            <v>WP LIVE</v>
          </cell>
          <cell r="E629">
            <v>41132</v>
          </cell>
          <cell r="F629" t="str">
            <v>TIER 2</v>
          </cell>
          <cell r="G629" t="str">
            <v>UNSKILLED</v>
          </cell>
          <cell r="H629">
            <v>400</v>
          </cell>
          <cell r="I629">
            <v>40725</v>
          </cell>
        </row>
        <row r="630">
          <cell r="A630" t="str">
            <v>FAN SHIJING</v>
          </cell>
          <cell r="B630" t="str">
            <v>0 73988330</v>
          </cell>
          <cell r="C630">
            <v>40374</v>
          </cell>
          <cell r="D630" t="str">
            <v>WP LIVE</v>
          </cell>
          <cell r="E630">
            <v>41108</v>
          </cell>
          <cell r="F630" t="str">
            <v>TIER 2</v>
          </cell>
          <cell r="G630" t="str">
            <v>UNSKILLED</v>
          </cell>
          <cell r="H630">
            <v>400</v>
          </cell>
          <cell r="I630">
            <v>40374</v>
          </cell>
        </row>
        <row r="631">
          <cell r="A631" t="str">
            <v>FARIDAHTON BINTI MOHD ALI</v>
          </cell>
          <cell r="B631" t="str">
            <v>5 19776146</v>
          </cell>
          <cell r="C631">
            <v>40239</v>
          </cell>
          <cell r="D631" t="str">
            <v>WP LIVE</v>
          </cell>
          <cell r="E631">
            <v>40978</v>
          </cell>
          <cell r="F631" t="str">
            <v>TIER 2</v>
          </cell>
          <cell r="G631" t="str">
            <v>UNSKILLED</v>
          </cell>
          <cell r="H631">
            <v>400</v>
          </cell>
          <cell r="I631">
            <v>40725</v>
          </cell>
        </row>
        <row r="632">
          <cell r="A632" t="str">
            <v>FARRID BIN MAJITOL</v>
          </cell>
          <cell r="B632" t="str">
            <v>4 02194863</v>
          </cell>
          <cell r="C632">
            <v>39612</v>
          </cell>
          <cell r="D632" t="str">
            <v>WP LIVE</v>
          </cell>
          <cell r="E632">
            <v>41345</v>
          </cell>
          <cell r="F632" t="str">
            <v>TIER 2</v>
          </cell>
          <cell r="G632" t="str">
            <v>UNSKILLED</v>
          </cell>
          <cell r="H632">
            <v>400</v>
          </cell>
          <cell r="I632">
            <v>39612</v>
          </cell>
        </row>
        <row r="633">
          <cell r="A633" t="str">
            <v>FAZAIL BIN JAMAL</v>
          </cell>
          <cell r="B633" t="str">
            <v>5 22864609</v>
          </cell>
          <cell r="C633">
            <v>40449</v>
          </cell>
          <cell r="D633" t="str">
            <v>WP LIVE</v>
          </cell>
          <cell r="E633">
            <v>40889</v>
          </cell>
          <cell r="F633" t="str">
            <v>TIER 2</v>
          </cell>
          <cell r="G633" t="str">
            <v>UNSKILLED</v>
          </cell>
          <cell r="H633">
            <v>400</v>
          </cell>
          <cell r="I633">
            <v>40725</v>
          </cell>
        </row>
        <row r="634">
          <cell r="A634" t="str">
            <v>FIONA MANGANJIN</v>
          </cell>
          <cell r="B634" t="str">
            <v>4 02191120</v>
          </cell>
          <cell r="C634">
            <v>39624</v>
          </cell>
          <cell r="D634" t="str">
            <v>WP LIVE</v>
          </cell>
          <cell r="E634">
            <v>41413</v>
          </cell>
          <cell r="F634" t="str">
            <v>TIER 2</v>
          </cell>
          <cell r="G634" t="str">
            <v>UNSKILLED</v>
          </cell>
          <cell r="H634">
            <v>400</v>
          </cell>
          <cell r="I634">
            <v>40725</v>
          </cell>
        </row>
        <row r="635">
          <cell r="A635" t="str">
            <v>FLORENCE GABERTAN</v>
          </cell>
          <cell r="B635" t="str">
            <v>4 02233400</v>
          </cell>
          <cell r="C635">
            <v>40277</v>
          </cell>
          <cell r="D635" t="str">
            <v>WP LIVE</v>
          </cell>
          <cell r="E635">
            <v>41449</v>
          </cell>
          <cell r="F635" t="str">
            <v>TIER 2</v>
          </cell>
          <cell r="G635" t="str">
            <v>UNSKILLED</v>
          </cell>
          <cell r="H635">
            <v>400</v>
          </cell>
          <cell r="I635">
            <v>40360</v>
          </cell>
        </row>
        <row r="636">
          <cell r="A636" t="str">
            <v>FO GUOYING</v>
          </cell>
          <cell r="B636" t="str">
            <v>0 73903718</v>
          </cell>
          <cell r="C636">
            <v>40324</v>
          </cell>
          <cell r="D636" t="str">
            <v>WP LIVE</v>
          </cell>
          <cell r="E636">
            <v>41059</v>
          </cell>
          <cell r="F636" t="str">
            <v>TIER 2</v>
          </cell>
          <cell r="G636" t="str">
            <v>UNSKILLED</v>
          </cell>
          <cell r="H636">
            <v>400</v>
          </cell>
          <cell r="I636">
            <v>40324</v>
          </cell>
        </row>
        <row r="637">
          <cell r="A637" t="str">
            <v>FONG KWEY LOY</v>
          </cell>
          <cell r="B637" t="str">
            <v>3 57410010</v>
          </cell>
          <cell r="C637">
            <v>40058</v>
          </cell>
          <cell r="D637" t="str">
            <v>WP LIVE</v>
          </cell>
          <cell r="E637">
            <v>41313</v>
          </cell>
          <cell r="F637" t="str">
            <v>TIER 2</v>
          </cell>
          <cell r="G637" t="str">
            <v>UNSKILLED</v>
          </cell>
          <cell r="H637">
            <v>400</v>
          </cell>
          <cell r="I637">
            <v>40725</v>
          </cell>
        </row>
        <row r="638">
          <cell r="A638" t="str">
            <v>FOONG LEE LIN</v>
          </cell>
          <cell r="B638" t="str">
            <v>5 12386466</v>
          </cell>
          <cell r="C638">
            <v>40318</v>
          </cell>
          <cell r="D638" t="str">
            <v>WP LIVE</v>
          </cell>
          <cell r="E638">
            <v>41060</v>
          </cell>
          <cell r="F638" t="str">
            <v>TIER 2</v>
          </cell>
          <cell r="G638" t="str">
            <v>UNSKILLED</v>
          </cell>
          <cell r="H638">
            <v>400</v>
          </cell>
          <cell r="I638">
            <v>40360</v>
          </cell>
        </row>
        <row r="639">
          <cell r="A639" t="str">
            <v>FU HONGYING</v>
          </cell>
          <cell r="B639" t="str">
            <v>0 73871212</v>
          </cell>
          <cell r="C639">
            <v>40308</v>
          </cell>
          <cell r="D639" t="str">
            <v>WP LIVE</v>
          </cell>
          <cell r="E639">
            <v>41040</v>
          </cell>
          <cell r="F639" t="str">
            <v>TIER 2</v>
          </cell>
          <cell r="G639" t="str">
            <v>UNSKILLED</v>
          </cell>
          <cell r="H639">
            <v>400</v>
          </cell>
          <cell r="I639">
            <v>40360</v>
          </cell>
        </row>
        <row r="640">
          <cell r="A640" t="str">
            <v>GAN AH KIAU</v>
          </cell>
          <cell r="B640" t="str">
            <v>3 70420734</v>
          </cell>
          <cell r="C640">
            <v>40421</v>
          </cell>
          <cell r="D640" t="str">
            <v>WP LIVE</v>
          </cell>
          <cell r="E640">
            <v>41166</v>
          </cell>
          <cell r="F640" t="str">
            <v>TIER 2</v>
          </cell>
          <cell r="G640" t="str">
            <v>UNSKILLED</v>
          </cell>
          <cell r="H640">
            <v>400</v>
          </cell>
          <cell r="I640">
            <v>40421</v>
          </cell>
        </row>
        <row r="641">
          <cell r="A641" t="str">
            <v>GANAPATHY A/L ALAGIRI</v>
          </cell>
          <cell r="B641" t="str">
            <v>5 09652864</v>
          </cell>
          <cell r="C641">
            <v>39902</v>
          </cell>
          <cell r="D641" t="str">
            <v>WP LIVE</v>
          </cell>
          <cell r="E641">
            <v>41290</v>
          </cell>
          <cell r="F641" t="str">
            <v>TIER 2</v>
          </cell>
          <cell r="G641" t="str">
            <v>UNSKILLED</v>
          </cell>
          <cell r="H641">
            <v>400</v>
          </cell>
          <cell r="I641">
            <v>40725</v>
          </cell>
        </row>
        <row r="642">
          <cell r="A642" t="str">
            <v>GANESAN A/L PERUMAL</v>
          </cell>
          <cell r="B642" t="str">
            <v>5 06692873</v>
          </cell>
          <cell r="C642">
            <v>39455</v>
          </cell>
          <cell r="D642" t="str">
            <v>WP LIVE</v>
          </cell>
          <cell r="E642">
            <v>40938</v>
          </cell>
          <cell r="F642" t="str">
            <v>TIER 2</v>
          </cell>
          <cell r="G642" t="str">
            <v>UNSKILLED</v>
          </cell>
          <cell r="H642">
            <v>400</v>
          </cell>
          <cell r="I642">
            <v>39569</v>
          </cell>
        </row>
        <row r="643">
          <cell r="A643" t="str">
            <v>GANESAN A/L SELVARAJU</v>
          </cell>
          <cell r="B643" t="str">
            <v>4 00070598</v>
          </cell>
          <cell r="C643">
            <v>40312</v>
          </cell>
          <cell r="D643" t="str">
            <v>WP LIVE</v>
          </cell>
          <cell r="E643">
            <v>40915</v>
          </cell>
          <cell r="F643" t="str">
            <v>TIER 2</v>
          </cell>
          <cell r="G643" t="str">
            <v>UNSKILLED</v>
          </cell>
          <cell r="H643">
            <v>400</v>
          </cell>
          <cell r="I643">
            <v>40360</v>
          </cell>
        </row>
        <row r="644">
          <cell r="A644" t="str">
            <v>GAO CHUNMEI</v>
          </cell>
          <cell r="B644" t="str">
            <v>0 73449391</v>
          </cell>
          <cell r="C644">
            <v>39993</v>
          </cell>
          <cell r="D644" t="str">
            <v>WP LIVE</v>
          </cell>
          <cell r="E644">
            <v>41454</v>
          </cell>
          <cell r="F644" t="str">
            <v>TIER 2</v>
          </cell>
          <cell r="G644" t="str">
            <v>UNSKILLED</v>
          </cell>
          <cell r="H644">
            <v>400</v>
          </cell>
          <cell r="I644">
            <v>40725</v>
          </cell>
        </row>
        <row r="645">
          <cell r="A645" t="str">
            <v>GARITHAS A/L SELVARAJA</v>
          </cell>
          <cell r="B645" t="str">
            <v>4 03146471</v>
          </cell>
          <cell r="C645">
            <v>39986</v>
          </cell>
          <cell r="D645" t="str">
            <v>WP LIVE</v>
          </cell>
          <cell r="E645">
            <v>40737</v>
          </cell>
          <cell r="F645" t="str">
            <v>TIER 2</v>
          </cell>
          <cell r="G645" t="str">
            <v>UNSKILLED</v>
          </cell>
          <cell r="H645">
            <v>400</v>
          </cell>
          <cell r="I645">
            <v>39986</v>
          </cell>
        </row>
        <row r="646">
          <cell r="A646" t="str">
            <v>GAYATHIRI A/P KARUPPAYA</v>
          </cell>
          <cell r="B646" t="str">
            <v>4 03545651</v>
          </cell>
          <cell r="C646">
            <v>40437</v>
          </cell>
          <cell r="D646" t="str">
            <v>WP LIVE</v>
          </cell>
          <cell r="E646">
            <v>40875</v>
          </cell>
          <cell r="F646" t="str">
            <v>TIER 2</v>
          </cell>
          <cell r="G646" t="str">
            <v>UNSKILLED</v>
          </cell>
          <cell r="H646">
            <v>400</v>
          </cell>
          <cell r="I646">
            <v>40437</v>
          </cell>
        </row>
        <row r="647">
          <cell r="A647" t="str">
            <v>GENG JIE</v>
          </cell>
          <cell r="B647" t="str">
            <v>0 73903300</v>
          </cell>
          <cell r="C647">
            <v>40323</v>
          </cell>
          <cell r="D647" t="str">
            <v>WP LIVE</v>
          </cell>
          <cell r="E647">
            <v>41059</v>
          </cell>
          <cell r="F647" t="str">
            <v>TIER 2</v>
          </cell>
          <cell r="G647" t="str">
            <v>UNSKILLED</v>
          </cell>
          <cell r="H647">
            <v>400</v>
          </cell>
          <cell r="I647">
            <v>40323</v>
          </cell>
        </row>
        <row r="648">
          <cell r="A648" t="str">
            <v>GENG ZHAN PING</v>
          </cell>
          <cell r="B648" t="str">
            <v>0 72359364</v>
          </cell>
          <cell r="C648">
            <v>40042</v>
          </cell>
          <cell r="D648" t="str">
            <v>WP LIVE</v>
          </cell>
          <cell r="E648">
            <v>40773</v>
          </cell>
          <cell r="F648" t="str">
            <v>TIER 2</v>
          </cell>
          <cell r="G648" t="str">
            <v>UNSKILLED</v>
          </cell>
          <cell r="H648">
            <v>400</v>
          </cell>
          <cell r="I648">
            <v>40725</v>
          </cell>
        </row>
        <row r="649">
          <cell r="A649" t="str">
            <v>GEOFFREY BIN KIMBOHONG</v>
          </cell>
          <cell r="B649" t="str">
            <v>6 0865870-</v>
          </cell>
          <cell r="C649">
            <v>40305</v>
          </cell>
          <cell r="D649" t="str">
            <v>WP LIVE</v>
          </cell>
          <cell r="E649">
            <v>41049</v>
          </cell>
          <cell r="F649" t="str">
            <v>TIER 2</v>
          </cell>
          <cell r="G649" t="str">
            <v>UNSKILLED</v>
          </cell>
          <cell r="H649">
            <v>400</v>
          </cell>
          <cell r="I649">
            <v>40305</v>
          </cell>
        </row>
        <row r="650">
          <cell r="A650" t="str">
            <v>GOH POH YAN</v>
          </cell>
          <cell r="B650" t="str">
            <v>3 61944011</v>
          </cell>
          <cell r="C650">
            <v>38833</v>
          </cell>
          <cell r="D650" t="str">
            <v>WP LIVE</v>
          </cell>
          <cell r="E650">
            <v>41282</v>
          </cell>
          <cell r="F650" t="str">
            <v>TIER 2</v>
          </cell>
          <cell r="G650" t="str">
            <v>UNSKILLED</v>
          </cell>
          <cell r="H650">
            <v>400</v>
          </cell>
          <cell r="I650">
            <v>40725</v>
          </cell>
        </row>
        <row r="651">
          <cell r="A651" t="str">
            <v>GOMANA A/P MAHADAVA</v>
          </cell>
          <cell r="B651" t="str">
            <v>3 63276555</v>
          </cell>
          <cell r="C651">
            <v>40464</v>
          </cell>
          <cell r="D651" t="str">
            <v>WP LIVE</v>
          </cell>
          <cell r="E651">
            <v>41206</v>
          </cell>
          <cell r="F651" t="str">
            <v>TIER 2</v>
          </cell>
          <cell r="G651" t="str">
            <v>UNSKILLED</v>
          </cell>
          <cell r="H651">
            <v>400</v>
          </cell>
          <cell r="I651">
            <v>40464</v>
          </cell>
        </row>
        <row r="652">
          <cell r="A652" t="str">
            <v>GONG LI</v>
          </cell>
          <cell r="B652" t="str">
            <v>0 73517753</v>
          </cell>
          <cell r="C652">
            <v>40058</v>
          </cell>
          <cell r="D652" t="str">
            <v>WP LIVE</v>
          </cell>
          <cell r="E652">
            <v>41039</v>
          </cell>
          <cell r="F652" t="str">
            <v>TIER 2</v>
          </cell>
          <cell r="G652" t="str">
            <v>UNSKILLED</v>
          </cell>
          <cell r="H652">
            <v>400</v>
          </cell>
          <cell r="I652">
            <v>40725</v>
          </cell>
        </row>
        <row r="653">
          <cell r="A653" t="str">
            <v>GOON WOOI CHEE</v>
          </cell>
          <cell r="B653" t="str">
            <v>4 00517533</v>
          </cell>
          <cell r="C653">
            <v>38720</v>
          </cell>
          <cell r="D653" t="str">
            <v>WP LIVE</v>
          </cell>
          <cell r="E653">
            <v>41403</v>
          </cell>
          <cell r="F653" t="str">
            <v>TIER 2</v>
          </cell>
          <cell r="G653" t="str">
            <v>UNSKILLED</v>
          </cell>
          <cell r="H653">
            <v>400</v>
          </cell>
          <cell r="I653">
            <v>40725</v>
          </cell>
        </row>
        <row r="654">
          <cell r="A654" t="str">
            <v>GOPINATH A/L SUBRAMANI</v>
          </cell>
          <cell r="B654" t="str">
            <v>5 25796981</v>
          </cell>
          <cell r="C654">
            <v>40448</v>
          </cell>
          <cell r="D654" t="str">
            <v>WP LIVE</v>
          </cell>
          <cell r="E654">
            <v>41195</v>
          </cell>
          <cell r="F654" t="str">
            <v>TIER 2</v>
          </cell>
          <cell r="G654" t="str">
            <v>UNSKILLED</v>
          </cell>
          <cell r="H654">
            <v>400</v>
          </cell>
          <cell r="I654">
            <v>40725</v>
          </cell>
        </row>
        <row r="655">
          <cell r="A655" t="str">
            <v>GU SONGHUA</v>
          </cell>
          <cell r="B655" t="str">
            <v>0 73836271</v>
          </cell>
          <cell r="C655">
            <v>40289</v>
          </cell>
          <cell r="D655" t="str">
            <v>WP LIVE</v>
          </cell>
          <cell r="E655">
            <v>41021</v>
          </cell>
          <cell r="F655" t="str">
            <v>TIER 2</v>
          </cell>
          <cell r="G655" t="str">
            <v>UNSKILLED</v>
          </cell>
          <cell r="H655">
            <v>400</v>
          </cell>
          <cell r="I655">
            <v>40289</v>
          </cell>
        </row>
        <row r="656">
          <cell r="A656" t="str">
            <v>GUAN HONGHUI</v>
          </cell>
          <cell r="B656" t="str">
            <v>0 73469147</v>
          </cell>
          <cell r="C656">
            <v>40015</v>
          </cell>
          <cell r="D656" t="str">
            <v>WP LIVE</v>
          </cell>
          <cell r="E656">
            <v>40745</v>
          </cell>
          <cell r="F656" t="str">
            <v>TIER 2</v>
          </cell>
          <cell r="G656" t="str">
            <v>UNSKILLED</v>
          </cell>
          <cell r="H656">
            <v>400</v>
          </cell>
          <cell r="I656">
            <v>40725</v>
          </cell>
        </row>
        <row r="657">
          <cell r="A657" t="str">
            <v>GUNALEGA A/P PALASUNDARAM</v>
          </cell>
          <cell r="B657" t="str">
            <v>5 32319919</v>
          </cell>
          <cell r="C657">
            <v>40049</v>
          </cell>
          <cell r="D657" t="str">
            <v>WP LIVE</v>
          </cell>
          <cell r="E657">
            <v>41430</v>
          </cell>
          <cell r="F657" t="str">
            <v>TIER 2</v>
          </cell>
          <cell r="G657" t="str">
            <v>UNSKILLED</v>
          </cell>
          <cell r="H657">
            <v>400</v>
          </cell>
          <cell r="I657">
            <v>40725</v>
          </cell>
        </row>
        <row r="658">
          <cell r="A658" t="str">
            <v>GUNASEKARAN A/L KRISHNAN</v>
          </cell>
          <cell r="B658" t="str">
            <v>5 10778766</v>
          </cell>
          <cell r="C658">
            <v>40127</v>
          </cell>
          <cell r="D658" t="str">
            <v>WP LIVE</v>
          </cell>
          <cell r="E658">
            <v>40887</v>
          </cell>
          <cell r="F658" t="str">
            <v>TIER 2</v>
          </cell>
          <cell r="G658" t="str">
            <v>UNSKILLED</v>
          </cell>
          <cell r="H658">
            <v>400</v>
          </cell>
          <cell r="I658">
            <v>40725</v>
          </cell>
        </row>
        <row r="659">
          <cell r="A659" t="str">
            <v>GUNAVATHI A/P CHIDAM PARAM</v>
          </cell>
          <cell r="B659" t="str">
            <v>5 18980890</v>
          </cell>
          <cell r="C659">
            <v>38992</v>
          </cell>
          <cell r="D659" t="str">
            <v>WP LIVE</v>
          </cell>
          <cell r="E659">
            <v>40775</v>
          </cell>
          <cell r="F659" t="str">
            <v>TIER 2</v>
          </cell>
          <cell r="G659" t="str">
            <v>UNSKILLED</v>
          </cell>
          <cell r="H659">
            <v>400</v>
          </cell>
          <cell r="I659">
            <v>40725</v>
          </cell>
        </row>
        <row r="660">
          <cell r="A660" t="str">
            <v>GUO CHAO</v>
          </cell>
          <cell r="B660" t="str">
            <v>0 73980550</v>
          </cell>
          <cell r="C660">
            <v>40372</v>
          </cell>
          <cell r="D660" t="str">
            <v>WP LIVE</v>
          </cell>
          <cell r="E660">
            <v>41108</v>
          </cell>
          <cell r="F660" t="str">
            <v>TIER 2</v>
          </cell>
          <cell r="G660" t="str">
            <v>UNSKILLED</v>
          </cell>
          <cell r="H660">
            <v>400</v>
          </cell>
          <cell r="I660">
            <v>40725</v>
          </cell>
        </row>
        <row r="661">
          <cell r="A661" t="str">
            <v>GUO QIMEI</v>
          </cell>
          <cell r="B661" t="str">
            <v>0 73449316</v>
          </cell>
          <cell r="C661">
            <v>39993</v>
          </cell>
          <cell r="D661" t="str">
            <v>WP LIVE</v>
          </cell>
          <cell r="E661">
            <v>41454</v>
          </cell>
          <cell r="F661" t="str">
            <v>TIER 2</v>
          </cell>
          <cell r="G661" t="str">
            <v>UNSKILLED</v>
          </cell>
          <cell r="H661">
            <v>400</v>
          </cell>
          <cell r="I661">
            <v>40725</v>
          </cell>
        </row>
        <row r="662">
          <cell r="A662" t="str">
            <v>GUO XUNWEI</v>
          </cell>
          <cell r="B662" t="str">
            <v>0 73520118</v>
          </cell>
          <cell r="C662">
            <v>40060</v>
          </cell>
          <cell r="D662" t="str">
            <v>WP LIVE</v>
          </cell>
          <cell r="E662">
            <v>40795</v>
          </cell>
          <cell r="F662" t="str">
            <v>TIER 2</v>
          </cell>
          <cell r="G662" t="str">
            <v>UNSKILLED</v>
          </cell>
          <cell r="H662">
            <v>400</v>
          </cell>
          <cell r="I662">
            <v>40725</v>
          </cell>
        </row>
        <row r="663">
          <cell r="A663" t="str">
            <v>GUO ZHANYING</v>
          </cell>
          <cell r="B663" t="str">
            <v>0 73449197</v>
          </cell>
          <cell r="C663">
            <v>39993</v>
          </cell>
          <cell r="D663" t="str">
            <v>WP LIVE</v>
          </cell>
          <cell r="E663">
            <v>41454</v>
          </cell>
          <cell r="F663" t="str">
            <v>TIER 2</v>
          </cell>
          <cell r="G663" t="str">
            <v>UNSKILLED</v>
          </cell>
          <cell r="H663">
            <v>400</v>
          </cell>
          <cell r="I663">
            <v>40725</v>
          </cell>
        </row>
        <row r="664">
          <cell r="A664" t="str">
            <v>HA CHOY KEEN</v>
          </cell>
          <cell r="B664" t="str">
            <v>5 02470604</v>
          </cell>
          <cell r="C664">
            <v>40491</v>
          </cell>
          <cell r="D664" t="str">
            <v>WP LIVE</v>
          </cell>
          <cell r="E664">
            <v>41235</v>
          </cell>
          <cell r="F664" t="str">
            <v>TIER 2</v>
          </cell>
          <cell r="G664" t="str">
            <v>UNSKILLED</v>
          </cell>
          <cell r="H664">
            <v>400</v>
          </cell>
          <cell r="I664">
            <v>40725</v>
          </cell>
        </row>
        <row r="665">
          <cell r="A665" t="str">
            <v>HABSAH BINTI ATAN</v>
          </cell>
          <cell r="B665" t="str">
            <v>3 53298291</v>
          </cell>
          <cell r="C665">
            <v>40450</v>
          </cell>
          <cell r="D665" t="str">
            <v>WP LIVE</v>
          </cell>
          <cell r="E665">
            <v>40941</v>
          </cell>
          <cell r="F665" t="str">
            <v>TIER 2</v>
          </cell>
          <cell r="G665" t="str">
            <v>UNSKILLED</v>
          </cell>
          <cell r="H665">
            <v>400</v>
          </cell>
          <cell r="I665">
            <v>40450</v>
          </cell>
        </row>
        <row r="666">
          <cell r="A666" t="str">
            <v>HAIPIN BIN IBRAHIM</v>
          </cell>
          <cell r="B666" t="str">
            <v>6 08379347</v>
          </cell>
          <cell r="C666">
            <v>39503</v>
          </cell>
          <cell r="D666" t="str">
            <v>WP LIVE</v>
          </cell>
          <cell r="E666">
            <v>41314</v>
          </cell>
          <cell r="F666" t="str">
            <v>TIER 2</v>
          </cell>
          <cell r="G666" t="str">
            <v>UNSKILLED</v>
          </cell>
          <cell r="H666">
            <v>400</v>
          </cell>
          <cell r="I666">
            <v>40725</v>
          </cell>
        </row>
        <row r="667">
          <cell r="A667" t="str">
            <v>HAIRIL ANUAR BIN SYAMSUL ARIFIN</v>
          </cell>
          <cell r="B667" t="str">
            <v>4 01897356</v>
          </cell>
          <cell r="C667">
            <v>39742</v>
          </cell>
          <cell r="D667" t="str">
            <v>WP LIVE</v>
          </cell>
          <cell r="E667">
            <v>41030</v>
          </cell>
          <cell r="F667" t="str">
            <v>TIER 2</v>
          </cell>
          <cell r="G667" t="str">
            <v>UNSKILLED</v>
          </cell>
          <cell r="H667">
            <v>400</v>
          </cell>
          <cell r="I667">
            <v>40725</v>
          </cell>
        </row>
        <row r="668">
          <cell r="A668" t="str">
            <v>HAIRUL AZMY BIN HAMSAN</v>
          </cell>
          <cell r="B668" t="str">
            <v>4 0135428-</v>
          </cell>
          <cell r="C668">
            <v>40114</v>
          </cell>
          <cell r="D668" t="str">
            <v>WP LIVE</v>
          </cell>
          <cell r="E668">
            <v>40801</v>
          </cell>
          <cell r="F668" t="str">
            <v>TIER 2</v>
          </cell>
          <cell r="G668" t="str">
            <v>UNSKILLED</v>
          </cell>
          <cell r="H668">
            <v>400</v>
          </cell>
          <cell r="I668">
            <v>40725</v>
          </cell>
        </row>
        <row r="669">
          <cell r="A669" t="str">
            <v>HAN BAODING</v>
          </cell>
          <cell r="B669" t="str">
            <v>0 56473750</v>
          </cell>
          <cell r="C669">
            <v>39240</v>
          </cell>
          <cell r="D669" t="str">
            <v>WP LIVE</v>
          </cell>
          <cell r="E669">
            <v>40732</v>
          </cell>
          <cell r="F669" t="str">
            <v>TIER 2</v>
          </cell>
          <cell r="G669" t="str">
            <v>UNSKILLED</v>
          </cell>
          <cell r="H669">
            <v>400</v>
          </cell>
          <cell r="I669">
            <v>40725</v>
          </cell>
        </row>
        <row r="670">
          <cell r="A670" t="str">
            <v>HAN ZONG FU</v>
          </cell>
          <cell r="B670" t="str">
            <v>0 73920205</v>
          </cell>
          <cell r="C670">
            <v>40336</v>
          </cell>
          <cell r="D670" t="str">
            <v>WP LIVE</v>
          </cell>
          <cell r="E670">
            <v>41070</v>
          </cell>
          <cell r="F670" t="str">
            <v>TIER 2</v>
          </cell>
          <cell r="G670" t="str">
            <v>UNSKILLED</v>
          </cell>
          <cell r="H670">
            <v>400</v>
          </cell>
          <cell r="I670">
            <v>40360</v>
          </cell>
        </row>
        <row r="671">
          <cell r="A671" t="str">
            <v>HANDERY LIEU JOHN</v>
          </cell>
          <cell r="B671" t="str">
            <v>4 02694955</v>
          </cell>
          <cell r="C671">
            <v>39700</v>
          </cell>
          <cell r="D671" t="str">
            <v>WP LIVE</v>
          </cell>
          <cell r="E671">
            <v>41168</v>
          </cell>
          <cell r="F671" t="str">
            <v>TIER 2</v>
          </cell>
          <cell r="G671" t="str">
            <v>UNSKILLED</v>
          </cell>
          <cell r="H671">
            <v>400</v>
          </cell>
          <cell r="I671">
            <v>39700</v>
          </cell>
        </row>
        <row r="672">
          <cell r="A672" t="str">
            <v>HAO HUAI EN</v>
          </cell>
          <cell r="B672" t="str">
            <v>0 72696328</v>
          </cell>
          <cell r="C672">
            <v>40023</v>
          </cell>
          <cell r="D672" t="str">
            <v>WP LIVE</v>
          </cell>
          <cell r="E672">
            <v>41271</v>
          </cell>
          <cell r="F672" t="str">
            <v>TIER 2</v>
          </cell>
          <cell r="G672" t="str">
            <v>UNSKILLED</v>
          </cell>
          <cell r="H672">
            <v>400</v>
          </cell>
          <cell r="I672">
            <v>40725</v>
          </cell>
        </row>
        <row r="673">
          <cell r="A673" t="str">
            <v>HAO HUAISEN</v>
          </cell>
          <cell r="B673" t="str">
            <v>0 73529735</v>
          </cell>
          <cell r="C673">
            <v>40070</v>
          </cell>
          <cell r="D673" t="str">
            <v>WP LIVE</v>
          </cell>
          <cell r="E673">
            <v>40802</v>
          </cell>
          <cell r="F673" t="str">
            <v>TIER 2</v>
          </cell>
          <cell r="G673" t="str">
            <v>UNSKILLED</v>
          </cell>
          <cell r="H673">
            <v>400</v>
          </cell>
          <cell r="I673">
            <v>40725</v>
          </cell>
        </row>
        <row r="674">
          <cell r="A674" t="str">
            <v>HARIJAN BIN REBAN</v>
          </cell>
          <cell r="B674" t="str">
            <v>4 03304549</v>
          </cell>
          <cell r="C674">
            <v>40217</v>
          </cell>
          <cell r="D674" t="str">
            <v>WP LIVE</v>
          </cell>
          <cell r="E674">
            <v>40906</v>
          </cell>
          <cell r="F674" t="str">
            <v>TIER 2</v>
          </cell>
          <cell r="G674" t="str">
            <v>UNSKILLED</v>
          </cell>
          <cell r="H674">
            <v>400</v>
          </cell>
          <cell r="I674">
            <v>40725</v>
          </cell>
        </row>
        <row r="675">
          <cell r="A675" t="str">
            <v>HARUN BIN MD SALLEH</v>
          </cell>
          <cell r="B675" t="str">
            <v>3 72863331</v>
          </cell>
          <cell r="C675">
            <v>40477</v>
          </cell>
          <cell r="D675" t="str">
            <v>WP LIVE</v>
          </cell>
          <cell r="E675">
            <v>41174</v>
          </cell>
          <cell r="F675" t="str">
            <v>TIER 2</v>
          </cell>
          <cell r="G675" t="str">
            <v>UNSKILLED</v>
          </cell>
          <cell r="H675">
            <v>400</v>
          </cell>
          <cell r="I675">
            <v>40725</v>
          </cell>
        </row>
        <row r="676">
          <cell r="A676" t="str">
            <v>HASBULLAH BIN MUHAMMAD</v>
          </cell>
          <cell r="B676" t="str">
            <v>5 15166459</v>
          </cell>
          <cell r="C676">
            <v>39658</v>
          </cell>
          <cell r="D676" t="str">
            <v>WP LIVE</v>
          </cell>
          <cell r="E676">
            <v>41125</v>
          </cell>
          <cell r="F676" t="str">
            <v>TIER 2</v>
          </cell>
          <cell r="G676" t="str">
            <v>UNSKILLED</v>
          </cell>
          <cell r="H676">
            <v>400</v>
          </cell>
          <cell r="I676">
            <v>39658</v>
          </cell>
        </row>
        <row r="677">
          <cell r="A677" t="str">
            <v>HE XU</v>
          </cell>
          <cell r="B677" t="str">
            <v>0 73836514</v>
          </cell>
          <cell r="C677">
            <v>40289</v>
          </cell>
          <cell r="D677" t="str">
            <v>WP LIVE</v>
          </cell>
          <cell r="E677">
            <v>41021</v>
          </cell>
          <cell r="F677" t="str">
            <v>TIER 2</v>
          </cell>
          <cell r="G677" t="str">
            <v>UNSKILLED</v>
          </cell>
          <cell r="H677">
            <v>400</v>
          </cell>
          <cell r="I677">
            <v>40289</v>
          </cell>
        </row>
        <row r="678">
          <cell r="A678" t="str">
            <v>HE YINFANG</v>
          </cell>
          <cell r="B678" t="str">
            <v>0 73461596</v>
          </cell>
          <cell r="C678">
            <v>40007</v>
          </cell>
          <cell r="D678" t="str">
            <v>WP LIVE</v>
          </cell>
          <cell r="E678">
            <v>40738</v>
          </cell>
          <cell r="F678" t="str">
            <v>TIER 2</v>
          </cell>
          <cell r="G678" t="str">
            <v>UNSKILLED</v>
          </cell>
          <cell r="H678">
            <v>400</v>
          </cell>
          <cell r="I678">
            <v>40007</v>
          </cell>
        </row>
        <row r="679">
          <cell r="A679" t="str">
            <v>HEE LU HOCK</v>
          </cell>
          <cell r="B679" t="str">
            <v>4 0309725-</v>
          </cell>
          <cell r="C679">
            <v>39895</v>
          </cell>
          <cell r="D679" t="str">
            <v>WP LIVE</v>
          </cell>
          <cell r="E679">
            <v>41366</v>
          </cell>
          <cell r="F679" t="str">
            <v>TIER 2</v>
          </cell>
          <cell r="G679" t="str">
            <v>UNSKILLED</v>
          </cell>
          <cell r="H679">
            <v>400</v>
          </cell>
          <cell r="I679">
            <v>40725</v>
          </cell>
        </row>
        <row r="680">
          <cell r="A680" t="str">
            <v>HEZIAH WEIN</v>
          </cell>
          <cell r="B680" t="str">
            <v>4 02003294</v>
          </cell>
          <cell r="C680">
            <v>39616</v>
          </cell>
          <cell r="D680" t="str">
            <v>WP LIVE</v>
          </cell>
          <cell r="E680">
            <v>41086</v>
          </cell>
          <cell r="F680" t="str">
            <v>TIER 2</v>
          </cell>
          <cell r="G680" t="str">
            <v>UNSKILLED</v>
          </cell>
          <cell r="H680">
            <v>400</v>
          </cell>
          <cell r="I680">
            <v>40725</v>
          </cell>
        </row>
        <row r="681">
          <cell r="A681" t="str">
            <v>HINDI ANAK EBET</v>
          </cell>
          <cell r="B681" t="str">
            <v>4 03302902</v>
          </cell>
          <cell r="C681">
            <v>40213</v>
          </cell>
          <cell r="D681" t="str">
            <v>WP LIVE</v>
          </cell>
          <cell r="E681">
            <v>40905</v>
          </cell>
          <cell r="F681" t="str">
            <v>TIER 2</v>
          </cell>
          <cell r="G681" t="str">
            <v>UNSKILLED</v>
          </cell>
          <cell r="H681">
            <v>400</v>
          </cell>
          <cell r="I681">
            <v>40213</v>
          </cell>
        </row>
        <row r="682">
          <cell r="A682" t="str">
            <v>HOO MEE CHOU</v>
          </cell>
          <cell r="B682" t="str">
            <v>5 00088060</v>
          </cell>
          <cell r="C682">
            <v>40157</v>
          </cell>
          <cell r="D682" t="str">
            <v>WP LIVE</v>
          </cell>
          <cell r="E682">
            <v>41480</v>
          </cell>
          <cell r="F682" t="str">
            <v>TIER 2</v>
          </cell>
          <cell r="G682" t="str">
            <v>UNSKILLED</v>
          </cell>
          <cell r="H682">
            <v>400</v>
          </cell>
          <cell r="I682">
            <v>40725</v>
          </cell>
        </row>
        <row r="683">
          <cell r="A683" t="str">
            <v>HORMON BIN KULUNG</v>
          </cell>
          <cell r="B683" t="str">
            <v>4 02075392</v>
          </cell>
          <cell r="C683">
            <v>38783</v>
          </cell>
          <cell r="D683" t="str">
            <v>WP LIVE</v>
          </cell>
          <cell r="E683">
            <v>41301</v>
          </cell>
          <cell r="F683" t="str">
            <v>TIER 2</v>
          </cell>
          <cell r="G683" t="str">
            <v>UNSKILLED</v>
          </cell>
          <cell r="H683">
            <v>400</v>
          </cell>
          <cell r="I683">
            <v>40725</v>
          </cell>
        </row>
        <row r="684">
          <cell r="A684" t="str">
            <v>HU LINGLI</v>
          </cell>
          <cell r="B684" t="str">
            <v>0 73933021</v>
          </cell>
          <cell r="C684">
            <v>40343</v>
          </cell>
          <cell r="D684" t="str">
            <v>WP LIVE</v>
          </cell>
          <cell r="E684">
            <v>41077</v>
          </cell>
          <cell r="F684" t="str">
            <v>TIER 2</v>
          </cell>
          <cell r="G684" t="str">
            <v>UNSKILLED</v>
          </cell>
          <cell r="H684">
            <v>400</v>
          </cell>
          <cell r="I684">
            <v>40360</v>
          </cell>
        </row>
        <row r="685">
          <cell r="A685" t="str">
            <v>HU YAOFANG</v>
          </cell>
          <cell r="B685" t="str">
            <v>0 73499410</v>
          </cell>
          <cell r="C685">
            <v>40042</v>
          </cell>
          <cell r="D685" t="str">
            <v>WP LIVE</v>
          </cell>
          <cell r="E685">
            <v>40773</v>
          </cell>
          <cell r="F685" t="str">
            <v>TIER 2</v>
          </cell>
          <cell r="G685" t="str">
            <v>UNSKILLED</v>
          </cell>
          <cell r="H685">
            <v>400</v>
          </cell>
          <cell r="I685">
            <v>40725</v>
          </cell>
        </row>
        <row r="686">
          <cell r="A686" t="str">
            <v>HUANG JIANMEI</v>
          </cell>
          <cell r="B686" t="str">
            <v>0 73836255</v>
          </cell>
          <cell r="C686">
            <v>40289</v>
          </cell>
          <cell r="D686" t="str">
            <v>WP LIVE</v>
          </cell>
          <cell r="E686">
            <v>41021</v>
          </cell>
          <cell r="F686" t="str">
            <v>TIER 2</v>
          </cell>
          <cell r="G686" t="str">
            <v>UNSKILLED</v>
          </cell>
          <cell r="H686">
            <v>400</v>
          </cell>
          <cell r="I686">
            <v>40289</v>
          </cell>
        </row>
        <row r="687">
          <cell r="A687" t="str">
            <v>HUANG QINGFANG</v>
          </cell>
          <cell r="B687" t="str">
            <v>0 73817455</v>
          </cell>
          <cell r="C687">
            <v>40281</v>
          </cell>
          <cell r="D687" t="str">
            <v>WP LIVE</v>
          </cell>
          <cell r="E687">
            <v>41013</v>
          </cell>
          <cell r="F687" t="str">
            <v>TIER 2</v>
          </cell>
          <cell r="G687" t="str">
            <v>UNSKILLED</v>
          </cell>
          <cell r="H687">
            <v>400</v>
          </cell>
          <cell r="I687">
            <v>40360</v>
          </cell>
        </row>
        <row r="688">
          <cell r="A688" t="str">
            <v>HUANG QINGLI</v>
          </cell>
          <cell r="B688" t="str">
            <v>0 7344909-</v>
          </cell>
          <cell r="C688">
            <v>39993</v>
          </cell>
          <cell r="D688" t="str">
            <v>WP LIVE</v>
          </cell>
          <cell r="E688">
            <v>41454</v>
          </cell>
          <cell r="F688" t="str">
            <v>TIER 2</v>
          </cell>
          <cell r="G688" t="str">
            <v>UNSKILLED</v>
          </cell>
          <cell r="H688">
            <v>400</v>
          </cell>
          <cell r="I688">
            <v>40725</v>
          </cell>
        </row>
        <row r="689">
          <cell r="A689" t="str">
            <v>HUANG SAIHUA</v>
          </cell>
          <cell r="B689" t="str">
            <v>0 74039669</v>
          </cell>
          <cell r="C689">
            <v>40406</v>
          </cell>
          <cell r="D689" t="str">
            <v>WP LIVE</v>
          </cell>
          <cell r="E689">
            <v>41139</v>
          </cell>
          <cell r="F689" t="str">
            <v>TIER 2</v>
          </cell>
          <cell r="G689" t="str">
            <v>UNSKILLED</v>
          </cell>
          <cell r="H689">
            <v>400</v>
          </cell>
          <cell r="I689">
            <v>40725</v>
          </cell>
        </row>
        <row r="690">
          <cell r="A690" t="str">
            <v>HUANG SHAOLING</v>
          </cell>
          <cell r="B690" t="str">
            <v>0 5645716-</v>
          </cell>
          <cell r="C690">
            <v>39546</v>
          </cell>
          <cell r="D690" t="str">
            <v>WP LIVE</v>
          </cell>
          <cell r="E690">
            <v>40921</v>
          </cell>
          <cell r="F690" t="str">
            <v>TIER 2</v>
          </cell>
          <cell r="G690" t="str">
            <v>UNSKILLED</v>
          </cell>
          <cell r="H690">
            <v>400</v>
          </cell>
          <cell r="I690">
            <v>40725</v>
          </cell>
        </row>
        <row r="691">
          <cell r="A691" t="str">
            <v>HUANG XIUXIU</v>
          </cell>
          <cell r="B691" t="str">
            <v>0 74126766</v>
          </cell>
          <cell r="C691">
            <v>40463</v>
          </cell>
          <cell r="D691" t="str">
            <v>WP LIVE</v>
          </cell>
          <cell r="E691">
            <v>41194</v>
          </cell>
          <cell r="F691" t="str">
            <v>TIER 2</v>
          </cell>
          <cell r="G691" t="str">
            <v>UNSKILLED</v>
          </cell>
          <cell r="H691">
            <v>400</v>
          </cell>
          <cell r="I691">
            <v>40463</v>
          </cell>
        </row>
        <row r="692">
          <cell r="A692" t="str">
            <v>INDRA A/P SUPPIAH</v>
          </cell>
          <cell r="B692" t="str">
            <v>3 54501953</v>
          </cell>
          <cell r="C692">
            <v>39086</v>
          </cell>
          <cell r="D692" t="str">
            <v>WP LIVE</v>
          </cell>
          <cell r="E692">
            <v>41300</v>
          </cell>
          <cell r="F692" t="str">
            <v>TIER 2</v>
          </cell>
          <cell r="G692" t="str">
            <v>UNSKILLED</v>
          </cell>
          <cell r="H692">
            <v>400</v>
          </cell>
          <cell r="I692">
            <v>40725</v>
          </cell>
        </row>
        <row r="693">
          <cell r="A693" t="str">
            <v>INDRA RANI A/P S SINNIAH</v>
          </cell>
          <cell r="B693" t="str">
            <v>3 69888722</v>
          </cell>
          <cell r="C693">
            <v>40094</v>
          </cell>
          <cell r="D693" t="str">
            <v>WP LIVE</v>
          </cell>
          <cell r="E693">
            <v>40842</v>
          </cell>
          <cell r="F693" t="str">
            <v>TIER 2</v>
          </cell>
          <cell r="G693" t="str">
            <v>UNSKILLED</v>
          </cell>
          <cell r="H693">
            <v>400</v>
          </cell>
          <cell r="I693">
            <v>40725</v>
          </cell>
        </row>
        <row r="694">
          <cell r="A694" t="str">
            <v>ISPERIH A/P RAJENDRAN</v>
          </cell>
          <cell r="B694" t="str">
            <v>4 02514140</v>
          </cell>
          <cell r="C694">
            <v>39699</v>
          </cell>
          <cell r="D694" t="str">
            <v>WP LIVE</v>
          </cell>
          <cell r="E694">
            <v>40978</v>
          </cell>
          <cell r="F694" t="str">
            <v>TIER 2</v>
          </cell>
          <cell r="G694" t="str">
            <v>UNSKILLED</v>
          </cell>
          <cell r="H694">
            <v>400</v>
          </cell>
          <cell r="I694">
            <v>40725</v>
          </cell>
        </row>
        <row r="695">
          <cell r="A695" t="str">
            <v>JACKLY BIN KAGAVAN</v>
          </cell>
          <cell r="B695" t="str">
            <v>4 03309222</v>
          </cell>
          <cell r="C695">
            <v>40228</v>
          </cell>
          <cell r="D695" t="str">
            <v>WP LIVE</v>
          </cell>
          <cell r="E695">
            <v>40968</v>
          </cell>
          <cell r="F695" t="str">
            <v>TIER 2</v>
          </cell>
          <cell r="G695" t="str">
            <v>UNSKILLED</v>
          </cell>
          <cell r="H695">
            <v>400</v>
          </cell>
          <cell r="I695">
            <v>40725</v>
          </cell>
        </row>
        <row r="696">
          <cell r="A696" t="str">
            <v>JACKSAN A/L MARIADAS</v>
          </cell>
          <cell r="B696" t="str">
            <v>4 01708022</v>
          </cell>
          <cell r="C696">
            <v>40156</v>
          </cell>
          <cell r="D696" t="str">
            <v>WP LIVE</v>
          </cell>
          <cell r="E696">
            <v>41296</v>
          </cell>
          <cell r="F696" t="str">
            <v>TIER 2</v>
          </cell>
          <cell r="G696" t="str">
            <v>UNSKILLED</v>
          </cell>
          <cell r="H696">
            <v>400</v>
          </cell>
          <cell r="I696">
            <v>40725</v>
          </cell>
        </row>
        <row r="697">
          <cell r="A697" t="str">
            <v>JAIFUL ANING</v>
          </cell>
          <cell r="B697" t="str">
            <v>4 02403381</v>
          </cell>
          <cell r="C697">
            <v>39801</v>
          </cell>
          <cell r="D697" t="str">
            <v>WP LIVE</v>
          </cell>
          <cell r="E697">
            <v>40931</v>
          </cell>
          <cell r="F697" t="str">
            <v>TIER 2</v>
          </cell>
          <cell r="G697" t="str">
            <v>UNSKILLED</v>
          </cell>
          <cell r="H697">
            <v>400</v>
          </cell>
          <cell r="I697">
            <v>40725</v>
          </cell>
        </row>
        <row r="698">
          <cell r="A698" t="str">
            <v>JAINUL BIN ANING</v>
          </cell>
          <cell r="B698" t="str">
            <v>4 01806040</v>
          </cell>
          <cell r="C698">
            <v>40183</v>
          </cell>
          <cell r="D698" t="str">
            <v>WP LIVE</v>
          </cell>
          <cell r="E698">
            <v>40926</v>
          </cell>
          <cell r="F698" t="str">
            <v>TIER 2</v>
          </cell>
          <cell r="G698" t="str">
            <v>UNSKILLED</v>
          </cell>
          <cell r="H698">
            <v>400</v>
          </cell>
          <cell r="I698">
            <v>40183</v>
          </cell>
        </row>
        <row r="699">
          <cell r="A699" t="str">
            <v>JAIREEZASSON BIN GOSOPOK</v>
          </cell>
          <cell r="B699" t="str">
            <v>4 03241733</v>
          </cell>
          <cell r="C699">
            <v>40238</v>
          </cell>
          <cell r="D699" t="str">
            <v>WP LIVE</v>
          </cell>
          <cell r="E699">
            <v>40978</v>
          </cell>
          <cell r="F699" t="str">
            <v>TIER 2</v>
          </cell>
          <cell r="G699" t="str">
            <v>UNSKILLED</v>
          </cell>
          <cell r="H699">
            <v>400</v>
          </cell>
          <cell r="I699">
            <v>40725</v>
          </cell>
        </row>
        <row r="700">
          <cell r="A700" t="str">
            <v>JANAKI A/P RAMAN @ KUNJURAMAN</v>
          </cell>
          <cell r="B700" t="str">
            <v>5 32246482</v>
          </cell>
          <cell r="C700">
            <v>39407</v>
          </cell>
          <cell r="D700" t="str">
            <v>WP LIVE</v>
          </cell>
          <cell r="E700">
            <v>40876</v>
          </cell>
          <cell r="F700" t="str">
            <v>TIER 2</v>
          </cell>
          <cell r="G700" t="str">
            <v>UNSKILLED</v>
          </cell>
          <cell r="H700">
            <v>400</v>
          </cell>
          <cell r="I700">
            <v>40725</v>
          </cell>
        </row>
        <row r="701">
          <cell r="A701" t="str">
            <v>JANAKI A/P THOLAN</v>
          </cell>
          <cell r="B701" t="str">
            <v>5 11546273</v>
          </cell>
          <cell r="C701">
            <v>39044</v>
          </cell>
          <cell r="D701" t="str">
            <v>WP LIVE</v>
          </cell>
          <cell r="E701">
            <v>41261</v>
          </cell>
          <cell r="F701" t="str">
            <v>TIER 2</v>
          </cell>
          <cell r="G701" t="str">
            <v>UNSKILLED</v>
          </cell>
          <cell r="H701">
            <v>400</v>
          </cell>
          <cell r="I701">
            <v>40725</v>
          </cell>
        </row>
        <row r="702">
          <cell r="A702" t="str">
            <v>JAYABARATI A/P NARAYANASAMY</v>
          </cell>
          <cell r="B702" t="str">
            <v>4 03187844</v>
          </cell>
          <cell r="C702">
            <v>40427</v>
          </cell>
          <cell r="D702" t="str">
            <v>WP LIVE</v>
          </cell>
          <cell r="E702">
            <v>41175</v>
          </cell>
          <cell r="F702" t="str">
            <v>TIER 2</v>
          </cell>
          <cell r="G702" t="str">
            <v>UNSKILLED</v>
          </cell>
          <cell r="H702">
            <v>400</v>
          </cell>
          <cell r="I702">
            <v>40725</v>
          </cell>
        </row>
        <row r="703">
          <cell r="A703" t="str">
            <v>JAYALETCHMY A/P KANNAN</v>
          </cell>
          <cell r="B703" t="str">
            <v>3 81440427</v>
          </cell>
          <cell r="C703">
            <v>38636</v>
          </cell>
          <cell r="D703" t="str">
            <v>WP LIVE</v>
          </cell>
          <cell r="E703">
            <v>41148</v>
          </cell>
          <cell r="F703" t="str">
            <v>TIER 2</v>
          </cell>
          <cell r="G703" t="str">
            <v>UNSKILLED</v>
          </cell>
          <cell r="H703">
            <v>400</v>
          </cell>
          <cell r="I703">
            <v>40725</v>
          </cell>
        </row>
        <row r="704">
          <cell r="A704" t="str">
            <v>JAYALETCHUMY A/P MUNIANDY</v>
          </cell>
          <cell r="B704" t="str">
            <v>5 13050585</v>
          </cell>
          <cell r="C704">
            <v>39238</v>
          </cell>
          <cell r="D704" t="str">
            <v>WP LIVE</v>
          </cell>
          <cell r="E704">
            <v>41464</v>
          </cell>
          <cell r="F704" t="str">
            <v>TIER 2</v>
          </cell>
          <cell r="G704" t="str">
            <v>UNSKILLED</v>
          </cell>
          <cell r="H704">
            <v>400</v>
          </cell>
          <cell r="I704">
            <v>40725</v>
          </cell>
        </row>
        <row r="705">
          <cell r="A705" t="str">
            <v>JAYAMANI A/P ARMUKHAM</v>
          </cell>
          <cell r="B705" t="str">
            <v>5 33537219</v>
          </cell>
          <cell r="C705">
            <v>40448</v>
          </cell>
          <cell r="D705" t="str">
            <v>WP LIVE</v>
          </cell>
          <cell r="E705">
            <v>41068</v>
          </cell>
          <cell r="F705" t="str">
            <v>TIER 2</v>
          </cell>
          <cell r="G705" t="str">
            <v>UNSKILLED</v>
          </cell>
          <cell r="H705">
            <v>400</v>
          </cell>
          <cell r="I705">
            <v>40725</v>
          </cell>
        </row>
        <row r="706">
          <cell r="A706" t="str">
            <v>JAYANTEE A/P NADARAJA</v>
          </cell>
          <cell r="B706" t="str">
            <v>5 17151017</v>
          </cell>
          <cell r="C706">
            <v>40726</v>
          </cell>
          <cell r="D706" t="str">
            <v>WP APPROVED</v>
          </cell>
          <cell r="F706" t="str">
            <v>TIER 2</v>
          </cell>
          <cell r="G706" t="str">
            <v>UNSKILLED</v>
          </cell>
          <cell r="H706">
            <v>400</v>
          </cell>
          <cell r="I706">
            <v>40726</v>
          </cell>
        </row>
        <row r="707">
          <cell r="A707" t="str">
            <v>JAYARANI A/P MUNIANDY</v>
          </cell>
          <cell r="B707" t="str">
            <v>5 37996137</v>
          </cell>
          <cell r="C707">
            <v>39188</v>
          </cell>
          <cell r="D707" t="str">
            <v>WP LIVE</v>
          </cell>
          <cell r="E707">
            <v>41401</v>
          </cell>
          <cell r="F707" t="str">
            <v>TIER 2</v>
          </cell>
          <cell r="G707" t="str">
            <v>UNSKILLED</v>
          </cell>
          <cell r="H707">
            <v>400</v>
          </cell>
          <cell r="I707">
            <v>40725</v>
          </cell>
        </row>
        <row r="708">
          <cell r="A708" t="str">
            <v>JEADAH BINTI RIE</v>
          </cell>
          <cell r="B708" t="str">
            <v>8 91129696</v>
          </cell>
          <cell r="C708">
            <v>40226</v>
          </cell>
          <cell r="D708" t="str">
            <v>WP LIVE</v>
          </cell>
          <cell r="E708">
            <v>40909</v>
          </cell>
          <cell r="F708" t="str">
            <v>TIER 2</v>
          </cell>
          <cell r="G708" t="str">
            <v>UNSKILLED</v>
          </cell>
          <cell r="H708">
            <v>400</v>
          </cell>
          <cell r="I708">
            <v>40725</v>
          </cell>
        </row>
        <row r="709">
          <cell r="A709" t="str">
            <v>JEEVA A/L RAMASAMY</v>
          </cell>
          <cell r="B709" t="str">
            <v>5 36438963</v>
          </cell>
          <cell r="C709">
            <v>40253</v>
          </cell>
          <cell r="D709" t="str">
            <v>WP LIVE</v>
          </cell>
          <cell r="E709">
            <v>41270</v>
          </cell>
          <cell r="F709" t="str">
            <v>TIER 2</v>
          </cell>
          <cell r="G709" t="str">
            <v>UNSKILLED</v>
          </cell>
          <cell r="H709">
            <v>400</v>
          </cell>
          <cell r="I709">
            <v>40725</v>
          </cell>
        </row>
        <row r="710">
          <cell r="A710" t="str">
            <v>JEGAN A/L SUBRAMANIAM</v>
          </cell>
          <cell r="B710" t="str">
            <v>4 02349271</v>
          </cell>
          <cell r="C710">
            <v>39064</v>
          </cell>
          <cell r="D710" t="str">
            <v>WP LIVE</v>
          </cell>
          <cell r="E710">
            <v>41286</v>
          </cell>
          <cell r="F710" t="str">
            <v>TIER 2</v>
          </cell>
          <cell r="G710" t="str">
            <v>UNSKILLED</v>
          </cell>
          <cell r="H710">
            <v>400</v>
          </cell>
          <cell r="I710">
            <v>40725</v>
          </cell>
        </row>
        <row r="711">
          <cell r="A711" t="str">
            <v>JEISHILAN A/L KALIMUTHU</v>
          </cell>
          <cell r="B711" t="str">
            <v>5 16392290</v>
          </cell>
          <cell r="C711">
            <v>39638</v>
          </cell>
          <cell r="D711" t="str">
            <v>WP LIVE</v>
          </cell>
          <cell r="E711">
            <v>41117</v>
          </cell>
          <cell r="F711" t="str">
            <v>TIER 2</v>
          </cell>
          <cell r="G711" t="str">
            <v>UNSKILLED</v>
          </cell>
          <cell r="H711">
            <v>400</v>
          </cell>
          <cell r="I711">
            <v>40725</v>
          </cell>
        </row>
        <row r="712">
          <cell r="A712" t="str">
            <v>JEMRY LANIM</v>
          </cell>
          <cell r="B712" t="str">
            <v>4 0226165-</v>
          </cell>
          <cell r="C712">
            <v>40189</v>
          </cell>
          <cell r="D712" t="str">
            <v>WP LIVE</v>
          </cell>
          <cell r="E712">
            <v>40753</v>
          </cell>
          <cell r="F712" t="str">
            <v>TIER 2</v>
          </cell>
          <cell r="G712" t="str">
            <v>UNSKILLED</v>
          </cell>
          <cell r="H712">
            <v>400</v>
          </cell>
          <cell r="I712">
            <v>40725</v>
          </cell>
        </row>
        <row r="713">
          <cell r="A713" t="str">
            <v>JESIKA ANAK RINGIS</v>
          </cell>
          <cell r="B713" t="str">
            <v>4 02691816</v>
          </cell>
          <cell r="C713">
            <v>40421</v>
          </cell>
          <cell r="D713" t="str">
            <v>WP LIVE</v>
          </cell>
          <cell r="E713">
            <v>41166</v>
          </cell>
          <cell r="F713" t="str">
            <v>TIER 2</v>
          </cell>
          <cell r="G713" t="str">
            <v>UNSKILLED</v>
          </cell>
          <cell r="H713">
            <v>400</v>
          </cell>
          <cell r="I713">
            <v>40421</v>
          </cell>
        </row>
        <row r="714">
          <cell r="A714" t="str">
            <v>JEYA A/P DORASAMY</v>
          </cell>
          <cell r="B714" t="str">
            <v>5 18233831</v>
          </cell>
          <cell r="C714">
            <v>40282</v>
          </cell>
          <cell r="D714" t="str">
            <v>WP LIVE</v>
          </cell>
          <cell r="E714">
            <v>40975</v>
          </cell>
          <cell r="F714" t="str">
            <v>TIER 2</v>
          </cell>
          <cell r="G714" t="str">
            <v>UNSKILLED</v>
          </cell>
          <cell r="H714">
            <v>400</v>
          </cell>
          <cell r="I714">
            <v>40282</v>
          </cell>
        </row>
        <row r="715">
          <cell r="A715" t="str">
            <v>JEYARAJ A/L SOOSAI</v>
          </cell>
          <cell r="B715" t="str">
            <v>5 30539849</v>
          </cell>
          <cell r="C715">
            <v>39170</v>
          </cell>
          <cell r="D715" t="str">
            <v>WP LIVE</v>
          </cell>
          <cell r="E715">
            <v>41379</v>
          </cell>
          <cell r="F715" t="str">
            <v>TIER 2</v>
          </cell>
          <cell r="G715" t="str">
            <v>UNSKILLED</v>
          </cell>
          <cell r="H715">
            <v>400</v>
          </cell>
          <cell r="I715">
            <v>40725</v>
          </cell>
        </row>
        <row r="716">
          <cell r="A716" t="str">
            <v>JI CUIRU</v>
          </cell>
          <cell r="B716" t="str">
            <v>0 73903122</v>
          </cell>
          <cell r="C716">
            <v>40323</v>
          </cell>
          <cell r="D716" t="str">
            <v>WP LIVE</v>
          </cell>
          <cell r="E716">
            <v>41059</v>
          </cell>
          <cell r="F716" t="str">
            <v>TIER 2</v>
          </cell>
          <cell r="G716" t="str">
            <v>UNSKILLED</v>
          </cell>
          <cell r="H716">
            <v>400</v>
          </cell>
          <cell r="I716">
            <v>40323</v>
          </cell>
        </row>
        <row r="717">
          <cell r="A717" t="str">
            <v>JI GUO QIANG</v>
          </cell>
          <cell r="B717" t="str">
            <v>0 7418071-</v>
          </cell>
          <cell r="C717">
            <v>40497</v>
          </cell>
          <cell r="D717" t="str">
            <v>WP LIVE</v>
          </cell>
          <cell r="E717">
            <v>41234</v>
          </cell>
          <cell r="F717" t="str">
            <v>TIER 2</v>
          </cell>
          <cell r="G717" t="str">
            <v>UNSKILLED</v>
          </cell>
          <cell r="H717">
            <v>400</v>
          </cell>
          <cell r="I717">
            <v>40725</v>
          </cell>
        </row>
        <row r="718">
          <cell r="A718" t="str">
            <v>JI JINZHAO</v>
          </cell>
          <cell r="B718" t="str">
            <v>0 73817315</v>
          </cell>
          <cell r="C718">
            <v>40281</v>
          </cell>
          <cell r="D718" t="str">
            <v>WP LIVE</v>
          </cell>
          <cell r="E718">
            <v>41013</v>
          </cell>
          <cell r="F718" t="str">
            <v>TIER 2</v>
          </cell>
          <cell r="G718" t="str">
            <v>UNSKILLED</v>
          </cell>
          <cell r="H718">
            <v>400</v>
          </cell>
          <cell r="I718">
            <v>40281</v>
          </cell>
        </row>
        <row r="719">
          <cell r="A719" t="str">
            <v>JIA LAN JUAN</v>
          </cell>
          <cell r="B719" t="str">
            <v>0 73525500</v>
          </cell>
          <cell r="C719">
            <v>40066</v>
          </cell>
          <cell r="D719" t="str">
            <v>WP LIVE</v>
          </cell>
          <cell r="E719">
            <v>40802</v>
          </cell>
          <cell r="F719" t="str">
            <v>TIER 2</v>
          </cell>
          <cell r="G719" t="str">
            <v>UNSKILLED</v>
          </cell>
          <cell r="H719">
            <v>400</v>
          </cell>
          <cell r="I719">
            <v>40725</v>
          </cell>
        </row>
        <row r="720">
          <cell r="A720" t="str">
            <v>JIA WEIYA</v>
          </cell>
          <cell r="B720" t="str">
            <v>0 73529700</v>
          </cell>
          <cell r="C720">
            <v>40070</v>
          </cell>
          <cell r="D720" t="str">
            <v>WP LIVE</v>
          </cell>
          <cell r="E720">
            <v>40802</v>
          </cell>
          <cell r="F720" t="str">
            <v>TIER 2</v>
          </cell>
          <cell r="G720" t="str">
            <v>UNSKILLED</v>
          </cell>
          <cell r="H720">
            <v>400</v>
          </cell>
          <cell r="I720">
            <v>40725</v>
          </cell>
        </row>
        <row r="721">
          <cell r="A721" t="str">
            <v>JIANG CHUANG</v>
          </cell>
          <cell r="B721" t="str">
            <v>0 73991072</v>
          </cell>
          <cell r="C721">
            <v>40375</v>
          </cell>
          <cell r="D721" t="str">
            <v>WP LIVE</v>
          </cell>
          <cell r="E721">
            <v>41109</v>
          </cell>
          <cell r="F721" t="str">
            <v>TIER 2</v>
          </cell>
          <cell r="G721" t="str">
            <v>UNSKILLED</v>
          </cell>
          <cell r="H721">
            <v>400</v>
          </cell>
          <cell r="I721">
            <v>40725</v>
          </cell>
        </row>
        <row r="722">
          <cell r="A722" t="str">
            <v>JIANG GAOHONG</v>
          </cell>
          <cell r="B722" t="str">
            <v>0 73449308</v>
          </cell>
          <cell r="C722">
            <v>39993</v>
          </cell>
          <cell r="D722" t="str">
            <v>WP LIVE</v>
          </cell>
          <cell r="E722">
            <v>41454</v>
          </cell>
          <cell r="F722" t="str">
            <v>TIER 2</v>
          </cell>
          <cell r="G722" t="str">
            <v>UNSKILLED</v>
          </cell>
          <cell r="H722">
            <v>400</v>
          </cell>
          <cell r="I722">
            <v>40725</v>
          </cell>
        </row>
        <row r="723">
          <cell r="A723" t="str">
            <v>JIANG QIN</v>
          </cell>
          <cell r="B723" t="str">
            <v>0 73920604</v>
          </cell>
          <cell r="C723">
            <v>40336</v>
          </cell>
          <cell r="D723" t="str">
            <v>WP LIVE</v>
          </cell>
          <cell r="E723">
            <v>41070</v>
          </cell>
          <cell r="F723" t="str">
            <v>TIER 2</v>
          </cell>
          <cell r="G723" t="str">
            <v>UNSKILLED</v>
          </cell>
          <cell r="H723">
            <v>400</v>
          </cell>
          <cell r="I723">
            <v>40360</v>
          </cell>
        </row>
        <row r="724">
          <cell r="A724" t="str">
            <v>JIANG RUFU</v>
          </cell>
          <cell r="B724" t="str">
            <v>0 73819172</v>
          </cell>
          <cell r="C724">
            <v>40281</v>
          </cell>
          <cell r="D724" t="str">
            <v>WP LIVE</v>
          </cell>
          <cell r="E724">
            <v>41299</v>
          </cell>
          <cell r="F724" t="str">
            <v>TIER 2</v>
          </cell>
          <cell r="G724" t="str">
            <v>UNSKILLED</v>
          </cell>
          <cell r="H724">
            <v>400</v>
          </cell>
          <cell r="I724">
            <v>40360</v>
          </cell>
        </row>
        <row r="725">
          <cell r="A725" t="str">
            <v>JIANG SU PING</v>
          </cell>
          <cell r="B725" t="str">
            <v>0 74024092</v>
          </cell>
          <cell r="C725">
            <v>40395</v>
          </cell>
          <cell r="D725" t="str">
            <v>WP LIVE</v>
          </cell>
          <cell r="E725">
            <v>41132</v>
          </cell>
          <cell r="F725" t="str">
            <v>TIER 2</v>
          </cell>
          <cell r="G725" t="str">
            <v>UNSKILLED</v>
          </cell>
          <cell r="H725">
            <v>400</v>
          </cell>
          <cell r="I725">
            <v>40725</v>
          </cell>
        </row>
        <row r="726">
          <cell r="A726" t="str">
            <v>JIAO YONG XIANG</v>
          </cell>
          <cell r="B726" t="str">
            <v>0 73990866</v>
          </cell>
          <cell r="C726">
            <v>40375</v>
          </cell>
          <cell r="D726" t="str">
            <v>WP LIVE</v>
          </cell>
          <cell r="E726">
            <v>41108</v>
          </cell>
          <cell r="F726" t="str">
            <v>TIER 2</v>
          </cell>
          <cell r="G726" t="str">
            <v>UNSKILLED</v>
          </cell>
          <cell r="H726">
            <v>400</v>
          </cell>
          <cell r="I726">
            <v>40725</v>
          </cell>
        </row>
        <row r="727">
          <cell r="A727" t="str">
            <v>JIMMY ANAK TANGAI</v>
          </cell>
          <cell r="B727" t="str">
            <v>4 01798773</v>
          </cell>
          <cell r="C727">
            <v>40217</v>
          </cell>
          <cell r="D727" t="str">
            <v>WP LIVE</v>
          </cell>
          <cell r="E727">
            <v>40884</v>
          </cell>
          <cell r="F727" t="str">
            <v>TIER 2</v>
          </cell>
          <cell r="G727" t="str">
            <v>UNSKILLED</v>
          </cell>
          <cell r="H727">
            <v>400</v>
          </cell>
          <cell r="I727">
            <v>40725</v>
          </cell>
        </row>
        <row r="728">
          <cell r="A728" t="str">
            <v>JIN XUE HU</v>
          </cell>
          <cell r="B728" t="str">
            <v>0 73920574</v>
          </cell>
          <cell r="C728">
            <v>40336</v>
          </cell>
          <cell r="D728" t="str">
            <v>WP LIVE</v>
          </cell>
          <cell r="E728">
            <v>41070</v>
          </cell>
          <cell r="F728" t="str">
            <v>TIER 2</v>
          </cell>
          <cell r="G728" t="str">
            <v>UNSKILLED</v>
          </cell>
          <cell r="H728">
            <v>400</v>
          </cell>
          <cell r="I728">
            <v>40360</v>
          </cell>
        </row>
        <row r="729">
          <cell r="A729" t="str">
            <v>JING SHI WEN</v>
          </cell>
          <cell r="B729" t="str">
            <v>0 74158196</v>
          </cell>
          <cell r="C729">
            <v>40480</v>
          </cell>
          <cell r="D729" t="str">
            <v>WP LIVE</v>
          </cell>
          <cell r="E729">
            <v>41214</v>
          </cell>
          <cell r="F729" t="str">
            <v>TIER 2</v>
          </cell>
          <cell r="G729" t="str">
            <v>UNSKILLED</v>
          </cell>
          <cell r="H729">
            <v>400</v>
          </cell>
          <cell r="I729">
            <v>40480</v>
          </cell>
        </row>
        <row r="730">
          <cell r="A730" t="str">
            <v>JUBILIE BIN NASIR</v>
          </cell>
          <cell r="B730" t="str">
            <v>4 01012990</v>
          </cell>
          <cell r="C730">
            <v>38800</v>
          </cell>
          <cell r="D730" t="str">
            <v>WP LIVE</v>
          </cell>
          <cell r="E730">
            <v>41251</v>
          </cell>
          <cell r="F730" t="str">
            <v>TIER 2</v>
          </cell>
          <cell r="G730" t="str">
            <v>UNSKILLED</v>
          </cell>
          <cell r="H730">
            <v>400</v>
          </cell>
          <cell r="I730">
            <v>40725</v>
          </cell>
        </row>
        <row r="731">
          <cell r="A731" t="str">
            <v>JULISTINA BINTI SUKRI</v>
          </cell>
          <cell r="B731" t="str">
            <v>4 03587141</v>
          </cell>
          <cell r="C731">
            <v>40490</v>
          </cell>
          <cell r="D731" t="str">
            <v>WP LIVE</v>
          </cell>
          <cell r="E731">
            <v>41180</v>
          </cell>
          <cell r="F731" t="str">
            <v>TIER 2</v>
          </cell>
          <cell r="G731" t="str">
            <v>UNSKILLED</v>
          </cell>
          <cell r="H731">
            <v>400</v>
          </cell>
          <cell r="I731">
            <v>40490</v>
          </cell>
        </row>
        <row r="732">
          <cell r="A732" t="str">
            <v>JUSTINAH BINTI METULANG</v>
          </cell>
          <cell r="B732" t="str">
            <v>6 04362199</v>
          </cell>
          <cell r="C732">
            <v>40296</v>
          </cell>
          <cell r="D732" t="str">
            <v>WP LIVE</v>
          </cell>
          <cell r="E732">
            <v>41041</v>
          </cell>
          <cell r="F732" t="str">
            <v>TIER 2</v>
          </cell>
          <cell r="G732" t="str">
            <v>UNSKILLED</v>
          </cell>
          <cell r="H732">
            <v>400</v>
          </cell>
          <cell r="I732">
            <v>40296</v>
          </cell>
        </row>
        <row r="733">
          <cell r="A733" t="str">
            <v>K RAJU A/L KANDASAMY</v>
          </cell>
          <cell r="B733" t="str">
            <v>3 63694411</v>
          </cell>
          <cell r="C733">
            <v>40497</v>
          </cell>
          <cell r="D733" t="str">
            <v>WP LIVE</v>
          </cell>
          <cell r="E733">
            <v>41241</v>
          </cell>
          <cell r="F733" t="str">
            <v>TIER 2</v>
          </cell>
          <cell r="G733" t="str">
            <v>UNSKILLED</v>
          </cell>
          <cell r="H733">
            <v>400</v>
          </cell>
          <cell r="I733">
            <v>40497</v>
          </cell>
        </row>
        <row r="734">
          <cell r="A734" t="str">
            <v>KAALI A/L KRISHNAN</v>
          </cell>
          <cell r="B734" t="str">
            <v>4 02662034</v>
          </cell>
          <cell r="C734">
            <v>40297</v>
          </cell>
          <cell r="D734" t="str">
            <v>WP LIVE</v>
          </cell>
          <cell r="E734">
            <v>40965</v>
          </cell>
          <cell r="F734" t="str">
            <v>TIER 2</v>
          </cell>
          <cell r="G734" t="str">
            <v>UNSKILLED</v>
          </cell>
          <cell r="H734">
            <v>400</v>
          </cell>
          <cell r="I734">
            <v>40360</v>
          </cell>
        </row>
        <row r="735">
          <cell r="A735" t="str">
            <v>KAISTORE A/P SINNAIH</v>
          </cell>
          <cell r="B735" t="str">
            <v>5 39030973</v>
          </cell>
          <cell r="C735">
            <v>40483</v>
          </cell>
          <cell r="D735" t="str">
            <v>WP LIVE</v>
          </cell>
          <cell r="E735">
            <v>41227</v>
          </cell>
          <cell r="F735" t="str">
            <v>TIER 2</v>
          </cell>
          <cell r="G735" t="str">
            <v>UNSKILLED</v>
          </cell>
          <cell r="H735">
            <v>400</v>
          </cell>
          <cell r="I735">
            <v>40725</v>
          </cell>
        </row>
        <row r="736">
          <cell r="A736" t="str">
            <v>KALADEVI A/P S KUNJOO</v>
          </cell>
          <cell r="B736" t="str">
            <v>5 06020875</v>
          </cell>
          <cell r="C736">
            <v>39364</v>
          </cell>
          <cell r="D736" t="str">
            <v>WP LIVE</v>
          </cell>
          <cell r="E736">
            <v>40845</v>
          </cell>
          <cell r="F736" t="str">
            <v>TIER 2</v>
          </cell>
          <cell r="G736" t="str">
            <v>UNSKILLED</v>
          </cell>
          <cell r="H736">
            <v>400</v>
          </cell>
          <cell r="I736">
            <v>40725</v>
          </cell>
        </row>
        <row r="737">
          <cell r="A737" t="str">
            <v>KALADEVI A/P SIMMASALAM</v>
          </cell>
          <cell r="B737" t="str">
            <v>5 30267008</v>
          </cell>
          <cell r="C737">
            <v>40504</v>
          </cell>
          <cell r="D737" t="str">
            <v>WP LIVE</v>
          </cell>
          <cell r="E737">
            <v>41251</v>
          </cell>
          <cell r="F737" t="str">
            <v>TIER 2</v>
          </cell>
          <cell r="G737" t="str">
            <v>UNSKILLED</v>
          </cell>
          <cell r="H737">
            <v>400</v>
          </cell>
          <cell r="I737">
            <v>40504</v>
          </cell>
        </row>
        <row r="738">
          <cell r="A738" t="str">
            <v>KALAIARASI A/P MAHALINGAM</v>
          </cell>
          <cell r="B738" t="str">
            <v>5 25894126</v>
          </cell>
          <cell r="C738">
            <v>39759</v>
          </cell>
          <cell r="D738" t="str">
            <v>WP LIVE</v>
          </cell>
          <cell r="E738">
            <v>41243</v>
          </cell>
          <cell r="F738" t="str">
            <v>TIER 2</v>
          </cell>
          <cell r="G738" t="str">
            <v>UNSKILLED</v>
          </cell>
          <cell r="H738">
            <v>400</v>
          </cell>
          <cell r="I738">
            <v>39759</v>
          </cell>
        </row>
        <row r="739">
          <cell r="A739" t="str">
            <v>KALAISELVI A/P VADIVELU</v>
          </cell>
          <cell r="B739" t="str">
            <v>5 19637642</v>
          </cell>
          <cell r="C739">
            <v>38652</v>
          </cell>
          <cell r="D739" t="str">
            <v>WP LIVE</v>
          </cell>
          <cell r="E739">
            <v>40865</v>
          </cell>
          <cell r="F739" t="str">
            <v>TIER 2</v>
          </cell>
          <cell r="G739" t="str">
            <v>UNSKILLED</v>
          </cell>
          <cell r="H739">
            <v>400</v>
          </cell>
          <cell r="I739">
            <v>40725</v>
          </cell>
        </row>
        <row r="740">
          <cell r="A740" t="str">
            <v>KALARANI A/P S MUNUSAMY</v>
          </cell>
          <cell r="B740" t="str">
            <v>3 10454281</v>
          </cell>
          <cell r="C740">
            <v>39608</v>
          </cell>
          <cell r="D740" t="str">
            <v>WP LIVE</v>
          </cell>
          <cell r="E740">
            <v>41091</v>
          </cell>
          <cell r="F740" t="str">
            <v>TIER 2</v>
          </cell>
          <cell r="G740" t="str">
            <v>UNSKILLED</v>
          </cell>
          <cell r="H740">
            <v>400</v>
          </cell>
          <cell r="I740">
            <v>40391</v>
          </cell>
        </row>
        <row r="741">
          <cell r="A741" t="str">
            <v>KALIANI A/P RAMASAMY</v>
          </cell>
          <cell r="B741" t="str">
            <v>5 19652277</v>
          </cell>
          <cell r="C741">
            <v>38783</v>
          </cell>
          <cell r="D741" t="str">
            <v>WP LIVE</v>
          </cell>
          <cell r="E741">
            <v>41294</v>
          </cell>
          <cell r="F741" t="str">
            <v>TIER 2</v>
          </cell>
          <cell r="G741" t="str">
            <v>UNSKILLED</v>
          </cell>
          <cell r="H741">
            <v>400</v>
          </cell>
          <cell r="I741">
            <v>40725</v>
          </cell>
        </row>
        <row r="742">
          <cell r="A742" t="str">
            <v>KALIJESAN A/L GENGAMUTHU</v>
          </cell>
          <cell r="B742" t="str">
            <v>4 03199370</v>
          </cell>
          <cell r="C742">
            <v>40462</v>
          </cell>
          <cell r="D742" t="str">
            <v>WP LIVE</v>
          </cell>
          <cell r="E742">
            <v>41201</v>
          </cell>
          <cell r="F742" t="str">
            <v>TIER 2</v>
          </cell>
          <cell r="G742" t="str">
            <v>UNSKILLED</v>
          </cell>
          <cell r="H742">
            <v>400</v>
          </cell>
          <cell r="I742">
            <v>40725</v>
          </cell>
        </row>
        <row r="743">
          <cell r="A743" t="str">
            <v>KALISWARAN A/L ARUMUGAM</v>
          </cell>
          <cell r="B743" t="str">
            <v>4 01972242</v>
          </cell>
          <cell r="C743">
            <v>40476</v>
          </cell>
          <cell r="D743" t="str">
            <v>WP LIVE</v>
          </cell>
          <cell r="E743">
            <v>40963</v>
          </cell>
          <cell r="F743" t="str">
            <v>TIER 2</v>
          </cell>
          <cell r="G743" t="str">
            <v>UNSKILLED</v>
          </cell>
          <cell r="H743">
            <v>400</v>
          </cell>
          <cell r="I743">
            <v>40476</v>
          </cell>
        </row>
        <row r="744">
          <cell r="A744" t="str">
            <v>KAMACHI A/P VADIVELLO</v>
          </cell>
          <cell r="B744" t="str">
            <v>5 00754877</v>
          </cell>
          <cell r="C744">
            <v>40191</v>
          </cell>
          <cell r="D744" t="str">
            <v>WP LIVE</v>
          </cell>
          <cell r="E744">
            <v>40941</v>
          </cell>
          <cell r="F744" t="str">
            <v>TIER 2</v>
          </cell>
          <cell r="G744" t="str">
            <v>UNSKILLED</v>
          </cell>
          <cell r="H744">
            <v>400</v>
          </cell>
          <cell r="I744">
            <v>40360</v>
          </cell>
        </row>
        <row r="745">
          <cell r="A745" t="str">
            <v>KAMALESWARI A/P S MUTHU</v>
          </cell>
          <cell r="B745" t="str">
            <v>5 23693158</v>
          </cell>
          <cell r="C745">
            <v>40155</v>
          </cell>
          <cell r="D745" t="str">
            <v>WP LIVE</v>
          </cell>
          <cell r="E745">
            <v>40832</v>
          </cell>
          <cell r="F745" t="str">
            <v>TIER 2</v>
          </cell>
          <cell r="G745" t="str">
            <v>UNSKILLED</v>
          </cell>
          <cell r="H745">
            <v>400</v>
          </cell>
          <cell r="I745">
            <v>40155</v>
          </cell>
        </row>
        <row r="746">
          <cell r="A746" t="str">
            <v>KAMARIAH BINTI YAAKOB</v>
          </cell>
          <cell r="B746" t="str">
            <v>5 22489727</v>
          </cell>
          <cell r="C746">
            <v>40323</v>
          </cell>
          <cell r="D746" t="str">
            <v>WP LIVE</v>
          </cell>
          <cell r="E746">
            <v>41023</v>
          </cell>
          <cell r="F746" t="str">
            <v>TIER 2</v>
          </cell>
          <cell r="G746" t="str">
            <v>UNSKILLED</v>
          </cell>
          <cell r="H746">
            <v>400</v>
          </cell>
          <cell r="I746">
            <v>40360</v>
          </cell>
        </row>
        <row r="747">
          <cell r="A747" t="str">
            <v>KANAGESWARY A/P BERASAMY</v>
          </cell>
          <cell r="B747" t="str">
            <v>4 02627166</v>
          </cell>
          <cell r="C747">
            <v>40036</v>
          </cell>
          <cell r="D747" t="str">
            <v>WP LIVE</v>
          </cell>
          <cell r="E747">
            <v>40787</v>
          </cell>
          <cell r="F747" t="str">
            <v>TIER 2</v>
          </cell>
          <cell r="G747" t="str">
            <v>UNSKILLED</v>
          </cell>
          <cell r="H747">
            <v>400</v>
          </cell>
          <cell r="I747">
            <v>40725</v>
          </cell>
        </row>
        <row r="748">
          <cell r="A748" t="str">
            <v>KANAPATHY A/L VEDIAPPAN</v>
          </cell>
          <cell r="B748" t="str">
            <v>3 62929512</v>
          </cell>
          <cell r="C748">
            <v>38588</v>
          </cell>
          <cell r="D748" t="str">
            <v>WP LIVE</v>
          </cell>
          <cell r="E748">
            <v>41237</v>
          </cell>
          <cell r="F748" t="str">
            <v>TIER 2</v>
          </cell>
          <cell r="G748" t="str">
            <v>UNSKILLED</v>
          </cell>
          <cell r="H748">
            <v>400</v>
          </cell>
          <cell r="I748">
            <v>40725</v>
          </cell>
        </row>
        <row r="749">
          <cell r="A749" t="str">
            <v>KANNAN A/L MUNIANDY</v>
          </cell>
          <cell r="B749" t="str">
            <v>5 1187534-</v>
          </cell>
          <cell r="C749">
            <v>40213</v>
          </cell>
          <cell r="D749" t="str">
            <v>WP LIVE</v>
          </cell>
          <cell r="E749">
            <v>41326</v>
          </cell>
          <cell r="F749" t="str">
            <v>TIER 2</v>
          </cell>
          <cell r="G749" t="str">
            <v>UNSKILLED</v>
          </cell>
          <cell r="H749">
            <v>400</v>
          </cell>
          <cell r="I749">
            <v>40725</v>
          </cell>
        </row>
        <row r="750">
          <cell r="A750" t="str">
            <v>KANTHAYEE A/P BATHUMALAI</v>
          </cell>
          <cell r="B750" t="str">
            <v>5 04710645</v>
          </cell>
          <cell r="C750">
            <v>40238</v>
          </cell>
          <cell r="D750" t="str">
            <v>WP LIVE</v>
          </cell>
          <cell r="E750">
            <v>40978</v>
          </cell>
          <cell r="F750" t="str">
            <v>TIER 2</v>
          </cell>
          <cell r="G750" t="str">
            <v>UNSKILLED</v>
          </cell>
          <cell r="H750">
            <v>400</v>
          </cell>
          <cell r="I750">
            <v>40725</v>
          </cell>
        </row>
        <row r="751">
          <cell r="A751" t="str">
            <v>KARPAGAVALLI A/P GONA SAKARAN</v>
          </cell>
          <cell r="B751" t="str">
            <v>4 03207896</v>
          </cell>
          <cell r="C751">
            <v>40402</v>
          </cell>
          <cell r="D751" t="str">
            <v>WP LIVE</v>
          </cell>
          <cell r="E751">
            <v>41140</v>
          </cell>
          <cell r="F751" t="str">
            <v>TIER 2</v>
          </cell>
          <cell r="G751" t="str">
            <v>UNSKILLED</v>
          </cell>
          <cell r="H751">
            <v>400</v>
          </cell>
          <cell r="I751">
            <v>40725</v>
          </cell>
        </row>
        <row r="752">
          <cell r="A752" t="str">
            <v>KARTHIKAVENI A/P PACKRISAMY</v>
          </cell>
          <cell r="B752" t="str">
            <v>5 02559923</v>
          </cell>
          <cell r="C752">
            <v>40295</v>
          </cell>
          <cell r="D752" t="str">
            <v>WP LIVE</v>
          </cell>
          <cell r="E752">
            <v>40957</v>
          </cell>
          <cell r="F752" t="str">
            <v>TIER 2</v>
          </cell>
          <cell r="G752" t="str">
            <v>UNSKILLED</v>
          </cell>
          <cell r="H752">
            <v>400</v>
          </cell>
          <cell r="I752">
            <v>40295</v>
          </cell>
        </row>
        <row r="753">
          <cell r="A753" t="str">
            <v>KAVITA A/P BALAKRISHNAN</v>
          </cell>
          <cell r="B753" t="str">
            <v>4 01728295</v>
          </cell>
          <cell r="C753">
            <v>39594</v>
          </cell>
          <cell r="D753" t="str">
            <v>WP LIVE</v>
          </cell>
          <cell r="E753">
            <v>41076</v>
          </cell>
          <cell r="F753" t="str">
            <v>TIER 2</v>
          </cell>
          <cell r="G753" t="str">
            <v>UNSKILLED</v>
          </cell>
          <cell r="H753">
            <v>400</v>
          </cell>
          <cell r="I753">
            <v>40725</v>
          </cell>
        </row>
        <row r="754">
          <cell r="A754" t="str">
            <v>KAVITA A/P NARAYANASAMY</v>
          </cell>
          <cell r="B754" t="str">
            <v>4 0348525-</v>
          </cell>
          <cell r="C754">
            <v>40368</v>
          </cell>
          <cell r="D754" t="str">
            <v>WP LIVE</v>
          </cell>
          <cell r="E754">
            <v>40875</v>
          </cell>
          <cell r="F754" t="str">
            <v>TIER 2</v>
          </cell>
          <cell r="G754" t="str">
            <v>UNSKILLED</v>
          </cell>
          <cell r="H754">
            <v>400</v>
          </cell>
          <cell r="I754">
            <v>40368</v>
          </cell>
        </row>
        <row r="755">
          <cell r="A755" t="str">
            <v>KHADIJAH A/P HUSSAIN</v>
          </cell>
          <cell r="B755" t="str">
            <v>5 20851534</v>
          </cell>
          <cell r="C755">
            <v>39776</v>
          </cell>
          <cell r="D755" t="str">
            <v>WP LIVE</v>
          </cell>
          <cell r="E755">
            <v>40806</v>
          </cell>
          <cell r="F755" t="str">
            <v>TIER 2</v>
          </cell>
          <cell r="G755" t="str">
            <v>UNSKILLED</v>
          </cell>
          <cell r="H755">
            <v>400</v>
          </cell>
          <cell r="I755">
            <v>40725</v>
          </cell>
        </row>
        <row r="756">
          <cell r="A756" t="str">
            <v>KHOR HOOI LING</v>
          </cell>
          <cell r="B756" t="str">
            <v>4 03313602</v>
          </cell>
          <cell r="C756">
            <v>40234</v>
          </cell>
          <cell r="D756" t="str">
            <v>WP LIVE</v>
          </cell>
          <cell r="E756">
            <v>40983</v>
          </cell>
          <cell r="F756" t="str">
            <v>TIER 2</v>
          </cell>
          <cell r="G756" t="str">
            <v>UNSKILLED</v>
          </cell>
          <cell r="H756">
            <v>400</v>
          </cell>
          <cell r="I756">
            <v>40234</v>
          </cell>
        </row>
        <row r="757">
          <cell r="A757" t="str">
            <v>KOKILA A/P PANIR SELVAM</v>
          </cell>
          <cell r="B757" t="str">
            <v>4 02934204</v>
          </cell>
          <cell r="C757">
            <v>40129</v>
          </cell>
          <cell r="D757" t="str">
            <v>WP LIVE</v>
          </cell>
          <cell r="E757">
            <v>41368</v>
          </cell>
          <cell r="F757" t="str">
            <v>TIER 2</v>
          </cell>
          <cell r="G757" t="str">
            <v>UNSKILLED</v>
          </cell>
          <cell r="H757">
            <v>400</v>
          </cell>
          <cell r="I757">
            <v>40129</v>
          </cell>
        </row>
        <row r="758">
          <cell r="A758" t="str">
            <v>KOLIN JEWIS</v>
          </cell>
          <cell r="B758" t="str">
            <v>4 02997923</v>
          </cell>
          <cell r="C758">
            <v>40324</v>
          </cell>
          <cell r="D758" t="str">
            <v>WP LIVE</v>
          </cell>
          <cell r="E758">
            <v>41067</v>
          </cell>
          <cell r="F758" t="str">
            <v>TIER 2</v>
          </cell>
          <cell r="G758" t="str">
            <v>UNSKILLED</v>
          </cell>
          <cell r="H758">
            <v>400</v>
          </cell>
          <cell r="I758">
            <v>40324</v>
          </cell>
        </row>
        <row r="759">
          <cell r="A759" t="str">
            <v>KONARY KOUNDAN A/L MUNIANDY</v>
          </cell>
          <cell r="B759" t="str">
            <v>3 67239077</v>
          </cell>
          <cell r="C759">
            <v>39478</v>
          </cell>
          <cell r="D759" t="str">
            <v>WP LIVE</v>
          </cell>
          <cell r="E759">
            <v>40958</v>
          </cell>
          <cell r="F759" t="str">
            <v>TIER 2</v>
          </cell>
          <cell r="G759" t="str">
            <v>UNSKILLED</v>
          </cell>
          <cell r="H759">
            <v>400</v>
          </cell>
          <cell r="I759">
            <v>39478</v>
          </cell>
        </row>
        <row r="760">
          <cell r="A760" t="str">
            <v>KONG HONGYE</v>
          </cell>
          <cell r="B760" t="str">
            <v>0 73523176</v>
          </cell>
          <cell r="C760">
            <v>40064</v>
          </cell>
          <cell r="D760" t="str">
            <v>WP LIVE</v>
          </cell>
          <cell r="E760">
            <v>41215</v>
          </cell>
          <cell r="F760" t="str">
            <v>TIER 2</v>
          </cell>
          <cell r="G760" t="str">
            <v>UNSKILLED</v>
          </cell>
          <cell r="H760">
            <v>400</v>
          </cell>
          <cell r="I760">
            <v>40725</v>
          </cell>
        </row>
        <row r="761">
          <cell r="A761" t="str">
            <v>KRISHNA VENI A/P RAGHAVAN</v>
          </cell>
          <cell r="B761" t="str">
            <v>4 02339764</v>
          </cell>
          <cell r="C761">
            <v>40324</v>
          </cell>
          <cell r="D761" t="str">
            <v>WP LIVE</v>
          </cell>
          <cell r="E761">
            <v>40823</v>
          </cell>
          <cell r="F761" t="str">
            <v>TIER 2</v>
          </cell>
          <cell r="G761" t="str">
            <v>UNSKILLED</v>
          </cell>
          <cell r="H761">
            <v>400</v>
          </cell>
          <cell r="I761">
            <v>40324</v>
          </cell>
        </row>
        <row r="762">
          <cell r="A762" t="str">
            <v>KRISHNAN A/L INTHRAN</v>
          </cell>
          <cell r="B762" t="str">
            <v>5 31211332</v>
          </cell>
          <cell r="C762">
            <v>40196</v>
          </cell>
          <cell r="D762" t="str">
            <v>WP LIVE</v>
          </cell>
          <cell r="E762">
            <v>40925</v>
          </cell>
          <cell r="F762" t="str">
            <v>TIER 2</v>
          </cell>
          <cell r="G762" t="str">
            <v>UNSKILLED</v>
          </cell>
          <cell r="H762">
            <v>400</v>
          </cell>
          <cell r="I762">
            <v>40360</v>
          </cell>
        </row>
        <row r="763">
          <cell r="A763" t="str">
            <v>KRISHNAN A/L SIMMASALAM</v>
          </cell>
          <cell r="B763" t="str">
            <v>5 09511047</v>
          </cell>
          <cell r="C763">
            <v>40353</v>
          </cell>
          <cell r="D763" t="str">
            <v>WP LIVE</v>
          </cell>
          <cell r="E763">
            <v>41326</v>
          </cell>
          <cell r="F763" t="str">
            <v>TIER 2</v>
          </cell>
          <cell r="G763" t="str">
            <v>UNSKILLED</v>
          </cell>
          <cell r="H763">
            <v>400</v>
          </cell>
          <cell r="I763">
            <v>40725</v>
          </cell>
        </row>
        <row r="764">
          <cell r="A764" t="str">
            <v>KRISHNAN A/L SUBRAMANIAM</v>
          </cell>
          <cell r="B764" t="str">
            <v>5 23717456</v>
          </cell>
          <cell r="C764">
            <v>39290</v>
          </cell>
          <cell r="D764" t="str">
            <v>WP LIVE</v>
          </cell>
          <cell r="E764">
            <v>41222</v>
          </cell>
          <cell r="F764" t="str">
            <v>TIER 2</v>
          </cell>
          <cell r="G764" t="str">
            <v>UNSKILLED</v>
          </cell>
          <cell r="H764">
            <v>400</v>
          </cell>
          <cell r="I764">
            <v>40725</v>
          </cell>
        </row>
        <row r="765">
          <cell r="A765" t="str">
            <v>KRISHNAVENI A/P PERIASAMY</v>
          </cell>
          <cell r="B765" t="str">
            <v>5 16891300</v>
          </cell>
          <cell r="C765">
            <v>39038</v>
          </cell>
          <cell r="D765" t="str">
            <v>WP LIVE</v>
          </cell>
          <cell r="E765">
            <v>40769</v>
          </cell>
          <cell r="F765" t="str">
            <v>TIER 2</v>
          </cell>
          <cell r="G765" t="str">
            <v>UNSKILLED</v>
          </cell>
          <cell r="H765">
            <v>400</v>
          </cell>
          <cell r="I765">
            <v>40725</v>
          </cell>
        </row>
        <row r="766">
          <cell r="A766" t="str">
            <v>KUGANESWARY A/P MARUGESU</v>
          </cell>
          <cell r="B766" t="str">
            <v>4 03014753</v>
          </cell>
          <cell r="C766">
            <v>40014</v>
          </cell>
          <cell r="D766" t="str">
            <v>WP LIVE</v>
          </cell>
          <cell r="E766">
            <v>40750</v>
          </cell>
          <cell r="F766" t="str">
            <v>TIER 2</v>
          </cell>
          <cell r="G766" t="str">
            <v>UNSKILLED</v>
          </cell>
          <cell r="H766">
            <v>400</v>
          </cell>
          <cell r="I766">
            <v>40014</v>
          </cell>
        </row>
        <row r="767">
          <cell r="A767" t="str">
            <v>KUMAR A/L SUBRAMANIAM</v>
          </cell>
          <cell r="B767" t="str">
            <v>5 29156294</v>
          </cell>
          <cell r="C767">
            <v>39625</v>
          </cell>
          <cell r="D767" t="str">
            <v>WP LIVE</v>
          </cell>
          <cell r="E767">
            <v>40923</v>
          </cell>
          <cell r="F767" t="str">
            <v>TIER 2</v>
          </cell>
          <cell r="G767" t="str">
            <v>UNSKILLED</v>
          </cell>
          <cell r="H767">
            <v>400</v>
          </cell>
          <cell r="I767">
            <v>39625</v>
          </cell>
        </row>
        <row r="768">
          <cell r="A768" t="str">
            <v>KUMARAN A/L KERISNAN</v>
          </cell>
          <cell r="B768" t="str">
            <v>5 28014011</v>
          </cell>
          <cell r="C768">
            <v>40095</v>
          </cell>
          <cell r="D768" t="str">
            <v>WP LIVE</v>
          </cell>
          <cell r="E768">
            <v>40842</v>
          </cell>
          <cell r="F768" t="str">
            <v>TIER 2</v>
          </cell>
          <cell r="G768" t="str">
            <v>UNSKILLED</v>
          </cell>
          <cell r="H768">
            <v>400</v>
          </cell>
          <cell r="I768">
            <v>40725</v>
          </cell>
        </row>
        <row r="769">
          <cell r="A769" t="str">
            <v>KUMARAN A/L KRISHNAN</v>
          </cell>
          <cell r="B769" t="str">
            <v>4 01793232</v>
          </cell>
          <cell r="C769">
            <v>40428</v>
          </cell>
          <cell r="D769" t="str">
            <v>WP LIVE</v>
          </cell>
          <cell r="E769">
            <v>41174</v>
          </cell>
          <cell r="F769" t="str">
            <v>TIER 2</v>
          </cell>
          <cell r="G769" t="str">
            <v>UNSKILLED</v>
          </cell>
          <cell r="H769">
            <v>400</v>
          </cell>
          <cell r="I769">
            <v>40725</v>
          </cell>
        </row>
        <row r="770">
          <cell r="A770" t="str">
            <v>KUMARAN A/L SUBRAMANIAN</v>
          </cell>
          <cell r="B770" t="str">
            <v>4 01025898</v>
          </cell>
          <cell r="C770">
            <v>39570</v>
          </cell>
          <cell r="D770" t="str">
            <v>WP LIVE</v>
          </cell>
          <cell r="E770">
            <v>40884</v>
          </cell>
          <cell r="F770" t="str">
            <v>TIER 2</v>
          </cell>
          <cell r="G770" t="str">
            <v>UNSKILLED</v>
          </cell>
          <cell r="H770">
            <v>400</v>
          </cell>
          <cell r="I770">
            <v>40725</v>
          </cell>
        </row>
        <row r="771">
          <cell r="A771" t="str">
            <v>KUNAGRI A/P M SINNAYAH</v>
          </cell>
          <cell r="B771" t="str">
            <v>3 81583473</v>
          </cell>
          <cell r="C771">
            <v>39357</v>
          </cell>
          <cell r="D771" t="str">
            <v>WP LIVE</v>
          </cell>
          <cell r="E771">
            <v>40840</v>
          </cell>
          <cell r="F771" t="str">
            <v>TIER 2</v>
          </cell>
          <cell r="G771" t="str">
            <v>UNSKILLED</v>
          </cell>
          <cell r="H771">
            <v>400</v>
          </cell>
          <cell r="I771">
            <v>40725</v>
          </cell>
        </row>
        <row r="772">
          <cell r="A772" t="str">
            <v>KUNALAN A/L KARUMAN</v>
          </cell>
          <cell r="B772" t="str">
            <v>5 18258052</v>
          </cell>
          <cell r="C772">
            <v>39086</v>
          </cell>
          <cell r="D772" t="str">
            <v>WP LIVE</v>
          </cell>
          <cell r="E772">
            <v>40851</v>
          </cell>
          <cell r="F772" t="str">
            <v>TIER 2</v>
          </cell>
          <cell r="G772" t="str">
            <v>UNSKILLED</v>
          </cell>
          <cell r="H772">
            <v>400</v>
          </cell>
          <cell r="I772">
            <v>40725</v>
          </cell>
        </row>
        <row r="773">
          <cell r="A773" t="str">
            <v>KUNASEKAR A/L NADIASEN</v>
          </cell>
          <cell r="B773" t="str">
            <v>4 03229210</v>
          </cell>
          <cell r="C773">
            <v>40198</v>
          </cell>
          <cell r="D773" t="str">
            <v>WP LIVE</v>
          </cell>
          <cell r="E773">
            <v>40941</v>
          </cell>
          <cell r="F773" t="str">
            <v>TIER 2</v>
          </cell>
          <cell r="G773" t="str">
            <v>UNSKILLED</v>
          </cell>
          <cell r="H773">
            <v>400</v>
          </cell>
          <cell r="I773">
            <v>40360</v>
          </cell>
        </row>
        <row r="774">
          <cell r="A774" t="str">
            <v>KUNASENTERY A/P VEERAIAH</v>
          </cell>
          <cell r="B774" t="str">
            <v>3 55402096</v>
          </cell>
          <cell r="C774">
            <v>39017</v>
          </cell>
          <cell r="D774" t="str">
            <v>WP LIVE</v>
          </cell>
          <cell r="E774">
            <v>41004</v>
          </cell>
          <cell r="F774" t="str">
            <v>TIER 2</v>
          </cell>
          <cell r="G774" t="str">
            <v>UNSKILLED</v>
          </cell>
          <cell r="H774">
            <v>400</v>
          </cell>
          <cell r="I774">
            <v>40725</v>
          </cell>
        </row>
        <row r="775">
          <cell r="A775" t="str">
            <v>KUPPAMAH A/P SUBRAMANIAN</v>
          </cell>
          <cell r="B775" t="str">
            <v>5 02759825</v>
          </cell>
          <cell r="C775">
            <v>39093</v>
          </cell>
          <cell r="D775" t="str">
            <v>WP LIVE</v>
          </cell>
          <cell r="E775">
            <v>40823</v>
          </cell>
          <cell r="F775" t="str">
            <v>TIER 2</v>
          </cell>
          <cell r="G775" t="str">
            <v>UNSKILLED</v>
          </cell>
          <cell r="H775">
            <v>400</v>
          </cell>
          <cell r="I775">
            <v>40725</v>
          </cell>
        </row>
        <row r="776">
          <cell r="A776" t="str">
            <v>LACHEMIKALA A/P RAMANAIDU</v>
          </cell>
          <cell r="B776" t="str">
            <v>5 0300108-</v>
          </cell>
          <cell r="C776">
            <v>40277</v>
          </cell>
          <cell r="D776" t="str">
            <v>WP LIVE</v>
          </cell>
          <cell r="E776">
            <v>41021</v>
          </cell>
          <cell r="F776" t="str">
            <v>TIER 2</v>
          </cell>
          <cell r="G776" t="str">
            <v>UNSKILLED</v>
          </cell>
          <cell r="H776">
            <v>400</v>
          </cell>
          <cell r="I776">
            <v>40360</v>
          </cell>
        </row>
        <row r="777">
          <cell r="A777" t="str">
            <v>LAI KUAN YOOT</v>
          </cell>
          <cell r="B777" t="str">
            <v>3 50619607</v>
          </cell>
          <cell r="C777">
            <v>38538</v>
          </cell>
          <cell r="D777" t="str">
            <v>WP LIVE</v>
          </cell>
          <cell r="E777">
            <v>41132</v>
          </cell>
          <cell r="F777" t="str">
            <v>TIER 2</v>
          </cell>
          <cell r="G777" t="str">
            <v>UNSKILLED</v>
          </cell>
          <cell r="H777">
            <v>400</v>
          </cell>
          <cell r="I777">
            <v>40725</v>
          </cell>
        </row>
        <row r="778">
          <cell r="A778" t="str">
            <v>LALITA A/P S MATHIALAGAN</v>
          </cell>
          <cell r="B778" t="str">
            <v>4 0346936-</v>
          </cell>
          <cell r="C778">
            <v>40352</v>
          </cell>
          <cell r="D778" t="str">
            <v>WP LIVE</v>
          </cell>
          <cell r="E778">
            <v>41032</v>
          </cell>
          <cell r="F778" t="str">
            <v>TIER 2</v>
          </cell>
          <cell r="G778" t="str">
            <v>UNSKILLED</v>
          </cell>
          <cell r="H778">
            <v>400</v>
          </cell>
          <cell r="I778">
            <v>40352</v>
          </cell>
        </row>
        <row r="779">
          <cell r="A779" t="str">
            <v>LAWISON ANGGURAPAH</v>
          </cell>
          <cell r="B779" t="str">
            <v>4 03169412</v>
          </cell>
          <cell r="C779">
            <v>40126</v>
          </cell>
          <cell r="D779" t="str">
            <v>WP LIVE</v>
          </cell>
          <cell r="E779">
            <v>40859</v>
          </cell>
          <cell r="F779" t="str">
            <v>TIER 2</v>
          </cell>
          <cell r="G779" t="str">
            <v>UNSKILLED</v>
          </cell>
          <cell r="H779">
            <v>400</v>
          </cell>
          <cell r="I779">
            <v>40725</v>
          </cell>
        </row>
        <row r="780">
          <cell r="A780" t="str">
            <v>LEE CHONG ONN</v>
          </cell>
          <cell r="B780" t="str">
            <v>5 03352893</v>
          </cell>
          <cell r="C780">
            <v>39888</v>
          </cell>
          <cell r="D780" t="str">
            <v>WP LIVE</v>
          </cell>
          <cell r="E780">
            <v>41029</v>
          </cell>
          <cell r="F780" t="str">
            <v>TIER 2</v>
          </cell>
          <cell r="G780" t="str">
            <v>UNSKILLED</v>
          </cell>
          <cell r="H780">
            <v>400</v>
          </cell>
          <cell r="I780">
            <v>40725</v>
          </cell>
        </row>
        <row r="781">
          <cell r="A781" t="str">
            <v>LEE SIEW YIN</v>
          </cell>
          <cell r="B781" t="str">
            <v>3 5440737-</v>
          </cell>
          <cell r="C781">
            <v>39721</v>
          </cell>
          <cell r="D781" t="str">
            <v>WP LIVE</v>
          </cell>
          <cell r="E781">
            <v>41198</v>
          </cell>
          <cell r="F781" t="str">
            <v>TIER 2</v>
          </cell>
          <cell r="G781" t="str">
            <v>UNSKILLED</v>
          </cell>
          <cell r="H781">
            <v>400</v>
          </cell>
          <cell r="I781">
            <v>39721</v>
          </cell>
        </row>
        <row r="782">
          <cell r="A782" t="str">
            <v>LEE SOOK CHING</v>
          </cell>
          <cell r="B782" t="str">
            <v>3 8368790-</v>
          </cell>
          <cell r="C782">
            <v>39216</v>
          </cell>
          <cell r="D782" t="str">
            <v>WP LIVE</v>
          </cell>
          <cell r="E782">
            <v>41085</v>
          </cell>
          <cell r="F782" t="str">
            <v>TIER 2</v>
          </cell>
          <cell r="G782" t="str">
            <v>UNSKILLED</v>
          </cell>
          <cell r="H782">
            <v>400</v>
          </cell>
          <cell r="I782">
            <v>40725</v>
          </cell>
        </row>
        <row r="783">
          <cell r="A783" t="str">
            <v>LELAWATI BINTI MOHAMAD</v>
          </cell>
          <cell r="B783" t="str">
            <v>5 09335265</v>
          </cell>
          <cell r="C783">
            <v>40444</v>
          </cell>
          <cell r="D783" t="str">
            <v>WP LIVE</v>
          </cell>
          <cell r="E783">
            <v>41192</v>
          </cell>
          <cell r="F783" t="str">
            <v>TIER 2</v>
          </cell>
          <cell r="G783" t="str">
            <v>UNSKILLED</v>
          </cell>
          <cell r="H783">
            <v>400</v>
          </cell>
          <cell r="I783">
            <v>40444</v>
          </cell>
        </row>
        <row r="784">
          <cell r="A784" t="str">
            <v>LENG GAIXIA</v>
          </cell>
          <cell r="B784" t="str">
            <v>0 73481112</v>
          </cell>
          <cell r="C784">
            <v>40022</v>
          </cell>
          <cell r="D784" t="str">
            <v>WP LIVE</v>
          </cell>
          <cell r="E784">
            <v>40753</v>
          </cell>
          <cell r="F784" t="str">
            <v>TIER 2</v>
          </cell>
          <cell r="G784" t="str">
            <v>UNSKILLED</v>
          </cell>
          <cell r="H784">
            <v>400</v>
          </cell>
          <cell r="I784">
            <v>40022</v>
          </cell>
        </row>
        <row r="785">
          <cell r="A785" t="str">
            <v>LEONG LEE LEE</v>
          </cell>
          <cell r="B785" t="str">
            <v>5 09930104</v>
          </cell>
          <cell r="C785">
            <v>39728</v>
          </cell>
          <cell r="D785" t="str">
            <v>WP LIVE</v>
          </cell>
          <cell r="E785">
            <v>40923</v>
          </cell>
          <cell r="F785" t="str">
            <v>TIER 2</v>
          </cell>
          <cell r="G785" t="str">
            <v>UNSKILLED</v>
          </cell>
          <cell r="H785">
            <v>400</v>
          </cell>
          <cell r="I785">
            <v>40725</v>
          </cell>
        </row>
        <row r="786">
          <cell r="A786" t="str">
            <v>LETCHAMAH A/P NARAYANAN</v>
          </cell>
          <cell r="B786" t="str">
            <v>3 58133177</v>
          </cell>
          <cell r="C786">
            <v>39542</v>
          </cell>
          <cell r="D786" t="str">
            <v>WP LIVE</v>
          </cell>
          <cell r="E786">
            <v>41394</v>
          </cell>
          <cell r="F786" t="str">
            <v>TIER 2</v>
          </cell>
          <cell r="G786" t="str">
            <v>UNSKILLED</v>
          </cell>
          <cell r="H786">
            <v>400</v>
          </cell>
          <cell r="I786">
            <v>40725</v>
          </cell>
        </row>
        <row r="787">
          <cell r="A787" t="str">
            <v>LETCHUMI A/P KARAPAYAH</v>
          </cell>
          <cell r="B787" t="str">
            <v>5 39433954</v>
          </cell>
          <cell r="C787">
            <v>38579</v>
          </cell>
          <cell r="D787" t="str">
            <v>WP LIVE</v>
          </cell>
          <cell r="E787">
            <v>41338</v>
          </cell>
          <cell r="F787" t="str">
            <v>TIER 2</v>
          </cell>
          <cell r="G787" t="str">
            <v>UNSKILLED</v>
          </cell>
          <cell r="H787">
            <v>400</v>
          </cell>
          <cell r="I787">
            <v>40725</v>
          </cell>
        </row>
        <row r="788">
          <cell r="A788" t="str">
            <v>LETCHUMY A/P BARMAN</v>
          </cell>
          <cell r="B788" t="str">
            <v>4 03068985</v>
          </cell>
          <cell r="C788">
            <v>39848</v>
          </cell>
          <cell r="D788" t="str">
            <v>WP LIVE</v>
          </cell>
          <cell r="E788">
            <v>41327</v>
          </cell>
          <cell r="F788" t="str">
            <v>TIER 2</v>
          </cell>
          <cell r="G788" t="str">
            <v>UNSKILLED</v>
          </cell>
          <cell r="H788">
            <v>400</v>
          </cell>
          <cell r="I788">
            <v>40725</v>
          </cell>
        </row>
        <row r="789">
          <cell r="A789" t="str">
            <v>LETCHUMY A/P KRISHNAN</v>
          </cell>
          <cell r="B789" t="str">
            <v>3 81250288</v>
          </cell>
          <cell r="C789">
            <v>39623</v>
          </cell>
          <cell r="D789" t="str">
            <v>WP LIVE</v>
          </cell>
          <cell r="E789">
            <v>41114</v>
          </cell>
          <cell r="F789" t="str">
            <v>TIER 2</v>
          </cell>
          <cell r="G789" t="str">
            <v>UNSKILLED</v>
          </cell>
          <cell r="H789">
            <v>400</v>
          </cell>
          <cell r="I789">
            <v>40725</v>
          </cell>
        </row>
        <row r="790">
          <cell r="A790" t="str">
            <v>LETCHUMY A/P NADASON</v>
          </cell>
          <cell r="B790" t="str">
            <v>5 01832340</v>
          </cell>
          <cell r="C790">
            <v>39309</v>
          </cell>
          <cell r="D790" t="str">
            <v>WP LIVE</v>
          </cell>
          <cell r="E790">
            <v>41242</v>
          </cell>
          <cell r="F790" t="str">
            <v>TIER 2</v>
          </cell>
          <cell r="G790" t="str">
            <v>UNSKILLED</v>
          </cell>
          <cell r="H790">
            <v>400</v>
          </cell>
          <cell r="I790">
            <v>40725</v>
          </cell>
        </row>
        <row r="791">
          <cell r="A791" t="str">
            <v>LETCHUMY A/P RAJAGOPAL</v>
          </cell>
          <cell r="B791" t="str">
            <v>5 32934249</v>
          </cell>
          <cell r="C791">
            <v>40389</v>
          </cell>
          <cell r="D791" t="str">
            <v>WP LIVE</v>
          </cell>
          <cell r="E791">
            <v>40985</v>
          </cell>
          <cell r="F791" t="str">
            <v>TIER 2</v>
          </cell>
          <cell r="G791" t="str">
            <v>UNSKILLED</v>
          </cell>
          <cell r="H791">
            <v>400</v>
          </cell>
          <cell r="I791">
            <v>40389</v>
          </cell>
        </row>
        <row r="792">
          <cell r="A792" t="str">
            <v>LI BIN</v>
          </cell>
          <cell r="B792" t="str">
            <v>0 73455952</v>
          </cell>
          <cell r="C792">
            <v>40000</v>
          </cell>
          <cell r="D792" t="str">
            <v>WP LIVE</v>
          </cell>
          <cell r="E792">
            <v>40732</v>
          </cell>
          <cell r="F792" t="str">
            <v>TIER 2</v>
          </cell>
          <cell r="G792" t="str">
            <v>UNSKILLED</v>
          </cell>
          <cell r="H792">
            <v>400</v>
          </cell>
          <cell r="I792">
            <v>40725</v>
          </cell>
        </row>
        <row r="793">
          <cell r="A793" t="str">
            <v>LI DAN</v>
          </cell>
          <cell r="B793" t="str">
            <v>0 73461723</v>
          </cell>
          <cell r="C793">
            <v>40007</v>
          </cell>
          <cell r="D793" t="str">
            <v>WP LIVE</v>
          </cell>
          <cell r="E793">
            <v>40737</v>
          </cell>
          <cell r="F793" t="str">
            <v>TIER 2</v>
          </cell>
          <cell r="G793" t="str">
            <v>UNSKILLED</v>
          </cell>
          <cell r="H793">
            <v>400</v>
          </cell>
          <cell r="I793">
            <v>40007</v>
          </cell>
        </row>
        <row r="794">
          <cell r="A794" t="str">
            <v>LI FANG</v>
          </cell>
          <cell r="B794" t="str">
            <v>0 74039529</v>
          </cell>
          <cell r="C794">
            <v>40406</v>
          </cell>
          <cell r="D794" t="str">
            <v>WP LIVE</v>
          </cell>
          <cell r="E794">
            <v>41139</v>
          </cell>
          <cell r="F794" t="str">
            <v>TIER 2</v>
          </cell>
          <cell r="G794" t="str">
            <v>UNSKILLED</v>
          </cell>
          <cell r="H794">
            <v>400</v>
          </cell>
          <cell r="I794">
            <v>40725</v>
          </cell>
        </row>
        <row r="795">
          <cell r="A795" t="str">
            <v>LI GAN</v>
          </cell>
          <cell r="B795" t="str">
            <v>0 73980836</v>
          </cell>
          <cell r="C795">
            <v>40372</v>
          </cell>
          <cell r="D795" t="str">
            <v>WP LIVE</v>
          </cell>
          <cell r="E795">
            <v>41109</v>
          </cell>
          <cell r="F795" t="str">
            <v>TIER 2</v>
          </cell>
          <cell r="G795" t="str">
            <v>UNSKILLED</v>
          </cell>
          <cell r="H795">
            <v>400</v>
          </cell>
          <cell r="I795">
            <v>40725</v>
          </cell>
        </row>
        <row r="796">
          <cell r="A796" t="str">
            <v>LI GUANGTAO</v>
          </cell>
          <cell r="B796" t="str">
            <v>0 73844029</v>
          </cell>
          <cell r="C796">
            <v>40291</v>
          </cell>
          <cell r="D796" t="str">
            <v>WP LIVE</v>
          </cell>
          <cell r="E796">
            <v>41021</v>
          </cell>
          <cell r="F796" t="str">
            <v>TIER 2</v>
          </cell>
          <cell r="G796" t="str">
            <v>UNSKILLED</v>
          </cell>
          <cell r="H796">
            <v>400</v>
          </cell>
          <cell r="I796">
            <v>40291</v>
          </cell>
        </row>
        <row r="797">
          <cell r="A797" t="str">
            <v>LI GUILING</v>
          </cell>
          <cell r="B797" t="str">
            <v>0 72239571</v>
          </cell>
          <cell r="C797">
            <v>39993</v>
          </cell>
          <cell r="D797" t="str">
            <v>WP LIVE</v>
          </cell>
          <cell r="E797">
            <v>41454</v>
          </cell>
          <cell r="F797" t="str">
            <v>TIER 2</v>
          </cell>
          <cell r="G797" t="str">
            <v>UNSKILLED</v>
          </cell>
          <cell r="H797">
            <v>400</v>
          </cell>
          <cell r="I797">
            <v>40725</v>
          </cell>
        </row>
        <row r="798">
          <cell r="A798" t="str">
            <v>LI JIANHUA</v>
          </cell>
          <cell r="B798" t="str">
            <v>0 73520096</v>
          </cell>
          <cell r="C798">
            <v>40060</v>
          </cell>
          <cell r="D798" t="str">
            <v>WP LIVE</v>
          </cell>
          <cell r="E798">
            <v>40795</v>
          </cell>
          <cell r="F798" t="str">
            <v>TIER 2</v>
          </cell>
          <cell r="G798" t="str">
            <v>UNSKILLED</v>
          </cell>
          <cell r="H798">
            <v>400</v>
          </cell>
          <cell r="I798">
            <v>40725</v>
          </cell>
        </row>
        <row r="799">
          <cell r="A799" t="str">
            <v>LI QIAN FEI</v>
          </cell>
          <cell r="B799" t="str">
            <v>0 74158145</v>
          </cell>
          <cell r="C799">
            <v>40480</v>
          </cell>
          <cell r="D799" t="str">
            <v>WP LIVE</v>
          </cell>
          <cell r="E799">
            <v>41214</v>
          </cell>
          <cell r="F799" t="str">
            <v>TIER 2</v>
          </cell>
          <cell r="G799" t="str">
            <v>UNSKILLED</v>
          </cell>
          <cell r="H799">
            <v>400</v>
          </cell>
          <cell r="I799">
            <v>40480</v>
          </cell>
        </row>
        <row r="800">
          <cell r="A800" t="str">
            <v>LI XIANG LIANG</v>
          </cell>
          <cell r="B800" t="str">
            <v>0 73517788</v>
          </cell>
          <cell r="C800">
            <v>40058</v>
          </cell>
          <cell r="D800" t="str">
            <v>WP LIVE</v>
          </cell>
          <cell r="E800">
            <v>40793</v>
          </cell>
          <cell r="F800" t="str">
            <v>TIER 2</v>
          </cell>
          <cell r="G800" t="str">
            <v>UNSKILLED</v>
          </cell>
          <cell r="H800">
            <v>400</v>
          </cell>
          <cell r="I800">
            <v>40725</v>
          </cell>
        </row>
        <row r="801">
          <cell r="A801" t="str">
            <v>LI YANHUA</v>
          </cell>
          <cell r="B801" t="str">
            <v>0 57945354</v>
          </cell>
          <cell r="C801">
            <v>39561</v>
          </cell>
          <cell r="D801" t="str">
            <v>WP LIVE</v>
          </cell>
          <cell r="E801">
            <v>41003</v>
          </cell>
          <cell r="F801" t="str">
            <v>TIER 2</v>
          </cell>
          <cell r="G801" t="str">
            <v>UNSKILLED</v>
          </cell>
          <cell r="H801">
            <v>400</v>
          </cell>
          <cell r="I801">
            <v>40725</v>
          </cell>
        </row>
        <row r="802">
          <cell r="A802" t="str">
            <v>LI YONGLI</v>
          </cell>
          <cell r="B802" t="str">
            <v>0 73520088</v>
          </cell>
          <cell r="C802">
            <v>40060</v>
          </cell>
          <cell r="D802" t="str">
            <v>WP LIVE</v>
          </cell>
          <cell r="E802">
            <v>40795</v>
          </cell>
          <cell r="F802" t="str">
            <v>TIER 2</v>
          </cell>
          <cell r="G802" t="str">
            <v>UNSKILLED</v>
          </cell>
          <cell r="H802">
            <v>400</v>
          </cell>
          <cell r="I802">
            <v>40725</v>
          </cell>
        </row>
        <row r="803">
          <cell r="A803" t="str">
            <v>LIJISHA ANAK KABO</v>
          </cell>
          <cell r="B803" t="str">
            <v>4 03483702</v>
          </cell>
          <cell r="C803">
            <v>40365</v>
          </cell>
          <cell r="D803" t="str">
            <v>WP LIVE</v>
          </cell>
          <cell r="E803">
            <v>41130</v>
          </cell>
          <cell r="F803" t="str">
            <v>TIER 2</v>
          </cell>
          <cell r="G803" t="str">
            <v>UNSKILLED</v>
          </cell>
          <cell r="H803">
            <v>400</v>
          </cell>
          <cell r="I803">
            <v>40725</v>
          </cell>
        </row>
        <row r="804">
          <cell r="A804" t="str">
            <v>LIM CHEE KEONG</v>
          </cell>
          <cell r="B804" t="str">
            <v>5 36604154</v>
          </cell>
          <cell r="C804">
            <v>40240</v>
          </cell>
          <cell r="D804" t="str">
            <v>WP LIVE</v>
          </cell>
          <cell r="E804">
            <v>40984</v>
          </cell>
          <cell r="F804" t="str">
            <v>TIER 2</v>
          </cell>
          <cell r="G804" t="str">
            <v>UNSKILLED</v>
          </cell>
          <cell r="H804">
            <v>400</v>
          </cell>
          <cell r="I804">
            <v>40725</v>
          </cell>
        </row>
        <row r="805">
          <cell r="A805" t="str">
            <v>LIM LAI GEOK</v>
          </cell>
          <cell r="B805" t="str">
            <v>3 82806271</v>
          </cell>
          <cell r="C805">
            <v>40401</v>
          </cell>
          <cell r="D805" t="str">
            <v>WP LIVE</v>
          </cell>
          <cell r="E805">
            <v>41154</v>
          </cell>
          <cell r="F805" t="str">
            <v>TIER 2</v>
          </cell>
          <cell r="G805" t="str">
            <v>UNSKILLED</v>
          </cell>
          <cell r="H805">
            <v>400</v>
          </cell>
          <cell r="I805">
            <v>40401</v>
          </cell>
        </row>
        <row r="806">
          <cell r="A806" t="str">
            <v>LIN BILAN</v>
          </cell>
          <cell r="B806" t="str">
            <v>0 73461626</v>
          </cell>
          <cell r="C806">
            <v>40007</v>
          </cell>
          <cell r="D806" t="str">
            <v>WP LIVE</v>
          </cell>
          <cell r="E806">
            <v>40737</v>
          </cell>
          <cell r="F806" t="str">
            <v>TIER 2</v>
          </cell>
          <cell r="G806" t="str">
            <v>UNSKILLED</v>
          </cell>
          <cell r="H806">
            <v>400</v>
          </cell>
          <cell r="I806">
            <v>40725</v>
          </cell>
        </row>
        <row r="807">
          <cell r="A807" t="str">
            <v>LIN MEIYING</v>
          </cell>
          <cell r="B807" t="str">
            <v>0 56151230</v>
          </cell>
          <cell r="C807">
            <v>38918</v>
          </cell>
          <cell r="D807" t="str">
            <v>WP LIVE</v>
          </cell>
          <cell r="E807">
            <v>40932</v>
          </cell>
          <cell r="F807" t="str">
            <v>TIER 2</v>
          </cell>
          <cell r="G807" t="str">
            <v>UNSKILLED</v>
          </cell>
          <cell r="H807">
            <v>400</v>
          </cell>
          <cell r="I807">
            <v>40725</v>
          </cell>
        </row>
        <row r="808">
          <cell r="A808" t="str">
            <v>LING MING KOUNG</v>
          </cell>
          <cell r="B808" t="str">
            <v>5 03482096</v>
          </cell>
          <cell r="C808">
            <v>40315</v>
          </cell>
          <cell r="D808" t="str">
            <v>WP LIVE</v>
          </cell>
          <cell r="E808">
            <v>41063</v>
          </cell>
          <cell r="F808" t="str">
            <v>TIER 2</v>
          </cell>
          <cell r="G808" t="str">
            <v>UNSKILLED</v>
          </cell>
          <cell r="H808">
            <v>400</v>
          </cell>
          <cell r="I808">
            <v>40315</v>
          </cell>
        </row>
        <row r="809">
          <cell r="A809" t="str">
            <v>LING POO TING</v>
          </cell>
          <cell r="B809" t="str">
            <v>3 52023752</v>
          </cell>
          <cell r="C809">
            <v>40154</v>
          </cell>
          <cell r="D809" t="str">
            <v>WP LIVE</v>
          </cell>
          <cell r="E809">
            <v>41312</v>
          </cell>
          <cell r="F809" t="str">
            <v>TIER 2</v>
          </cell>
          <cell r="G809" t="str">
            <v>UNSKILLED</v>
          </cell>
          <cell r="H809">
            <v>400</v>
          </cell>
          <cell r="I809">
            <v>40725</v>
          </cell>
        </row>
        <row r="810">
          <cell r="A810" t="str">
            <v>LING YIE SHIUN @ GEORGE LIM</v>
          </cell>
          <cell r="B810" t="str">
            <v>6 07226725</v>
          </cell>
          <cell r="C810">
            <v>39904</v>
          </cell>
          <cell r="D810" t="str">
            <v>WP LIVE</v>
          </cell>
          <cell r="E810">
            <v>41377</v>
          </cell>
          <cell r="F810" t="str">
            <v>TIER 2</v>
          </cell>
          <cell r="G810" t="str">
            <v>UNSKILLED</v>
          </cell>
          <cell r="H810">
            <v>400</v>
          </cell>
          <cell r="I810">
            <v>40725</v>
          </cell>
        </row>
        <row r="811">
          <cell r="A811" t="str">
            <v>LIOW FONG MOI</v>
          </cell>
          <cell r="B811" t="str">
            <v>3 60788369</v>
          </cell>
          <cell r="C811">
            <v>39720</v>
          </cell>
          <cell r="D811" t="str">
            <v>WP LIVE</v>
          </cell>
          <cell r="E811">
            <v>41196</v>
          </cell>
          <cell r="F811" t="str">
            <v>TIER 2</v>
          </cell>
          <cell r="G811" t="str">
            <v>UNSKILLED</v>
          </cell>
          <cell r="H811">
            <v>400</v>
          </cell>
          <cell r="I811">
            <v>40725</v>
          </cell>
        </row>
        <row r="812">
          <cell r="A812" t="str">
            <v>LIU FANG</v>
          </cell>
          <cell r="B812" t="str">
            <v>0 73546192</v>
          </cell>
          <cell r="C812">
            <v>40084</v>
          </cell>
          <cell r="D812" t="str">
            <v>WP LIVE</v>
          </cell>
          <cell r="E812">
            <v>40824</v>
          </cell>
          <cell r="F812" t="str">
            <v>TIER 2</v>
          </cell>
          <cell r="G812" t="str">
            <v>UNSKILLED</v>
          </cell>
          <cell r="H812">
            <v>400</v>
          </cell>
          <cell r="I812">
            <v>40725</v>
          </cell>
        </row>
        <row r="813">
          <cell r="A813" t="str">
            <v>LIU LI YANG</v>
          </cell>
          <cell r="B813" t="str">
            <v>0 73817382</v>
          </cell>
          <cell r="C813">
            <v>40281</v>
          </cell>
          <cell r="D813" t="str">
            <v>WP LIVE</v>
          </cell>
          <cell r="E813">
            <v>41013</v>
          </cell>
          <cell r="F813" t="str">
            <v>TIER 2</v>
          </cell>
          <cell r="G813" t="str">
            <v>UNSKILLED</v>
          </cell>
          <cell r="H813">
            <v>400</v>
          </cell>
          <cell r="I813">
            <v>40281</v>
          </cell>
        </row>
        <row r="814">
          <cell r="A814" t="str">
            <v>LIU WU BEI</v>
          </cell>
          <cell r="B814" t="str">
            <v>0 74098711</v>
          </cell>
          <cell r="C814">
            <v>40443</v>
          </cell>
          <cell r="D814" t="str">
            <v>WP LIVE</v>
          </cell>
          <cell r="E814">
            <v>41178</v>
          </cell>
          <cell r="F814" t="str">
            <v>TIER 2</v>
          </cell>
          <cell r="G814" t="str">
            <v>UNSKILLED</v>
          </cell>
          <cell r="H814">
            <v>400</v>
          </cell>
          <cell r="I814">
            <v>40443</v>
          </cell>
        </row>
        <row r="815">
          <cell r="A815" t="str">
            <v>LIU XIAOHAO</v>
          </cell>
          <cell r="B815" t="str">
            <v>0 74053149</v>
          </cell>
          <cell r="C815">
            <v>40414</v>
          </cell>
          <cell r="D815" t="str">
            <v>WP LIVE</v>
          </cell>
          <cell r="E815">
            <v>41147</v>
          </cell>
          <cell r="F815" t="str">
            <v>TIER 2</v>
          </cell>
          <cell r="G815" t="str">
            <v>UNSKILLED</v>
          </cell>
          <cell r="H815">
            <v>400</v>
          </cell>
          <cell r="I815">
            <v>40414</v>
          </cell>
        </row>
        <row r="816">
          <cell r="A816" t="str">
            <v>LIU XUEZENG</v>
          </cell>
          <cell r="B816" t="str">
            <v>0 73448867</v>
          </cell>
          <cell r="C816">
            <v>39993</v>
          </cell>
          <cell r="D816" t="str">
            <v>WP LIVE</v>
          </cell>
          <cell r="E816">
            <v>41454</v>
          </cell>
          <cell r="F816" t="str">
            <v>TIER 2</v>
          </cell>
          <cell r="G816" t="str">
            <v>UNSKILLED</v>
          </cell>
          <cell r="H816">
            <v>400</v>
          </cell>
          <cell r="I816">
            <v>40725</v>
          </cell>
        </row>
        <row r="817">
          <cell r="A817" t="str">
            <v>LIU ZHANWEI</v>
          </cell>
          <cell r="B817" t="str">
            <v>0 73520193</v>
          </cell>
          <cell r="C817">
            <v>40060</v>
          </cell>
          <cell r="D817" t="str">
            <v>WP LIVE</v>
          </cell>
          <cell r="E817">
            <v>40795</v>
          </cell>
          <cell r="F817" t="str">
            <v>TIER 2</v>
          </cell>
          <cell r="G817" t="str">
            <v>UNSKILLED</v>
          </cell>
          <cell r="H817">
            <v>400</v>
          </cell>
          <cell r="I817">
            <v>40725</v>
          </cell>
        </row>
        <row r="818">
          <cell r="A818" t="str">
            <v>LOGHA NAYAGI A/P RAMAN</v>
          </cell>
          <cell r="B818" t="str">
            <v>4 03255882</v>
          </cell>
          <cell r="C818">
            <v>40477</v>
          </cell>
          <cell r="D818" t="str">
            <v>WP LIVE</v>
          </cell>
          <cell r="E818">
            <v>40846</v>
          </cell>
          <cell r="F818" t="str">
            <v>TIER 2</v>
          </cell>
          <cell r="G818" t="str">
            <v>UNSKILLED</v>
          </cell>
          <cell r="H818">
            <v>400</v>
          </cell>
          <cell r="I818">
            <v>40477</v>
          </cell>
        </row>
        <row r="819">
          <cell r="A819" t="str">
            <v>LOGU A/P BALAKRISHNAN</v>
          </cell>
          <cell r="B819" t="str">
            <v>4 02727136</v>
          </cell>
          <cell r="C819">
            <v>40325</v>
          </cell>
          <cell r="D819" t="str">
            <v>WP LIVE</v>
          </cell>
          <cell r="E819">
            <v>41017</v>
          </cell>
          <cell r="F819" t="str">
            <v>TIER 2</v>
          </cell>
          <cell r="G819" t="str">
            <v>UNSKILLED</v>
          </cell>
          <cell r="H819">
            <v>400</v>
          </cell>
          <cell r="I819">
            <v>40360</v>
          </cell>
        </row>
        <row r="820">
          <cell r="A820" t="str">
            <v>LOI SAN KOON</v>
          </cell>
          <cell r="B820" t="str">
            <v>3 56374363</v>
          </cell>
          <cell r="C820">
            <v>39281</v>
          </cell>
          <cell r="D820" t="str">
            <v>WP LIVE</v>
          </cell>
          <cell r="E820">
            <v>41473</v>
          </cell>
          <cell r="F820" t="str">
            <v>TIER 2</v>
          </cell>
          <cell r="G820" t="str">
            <v>UNSKILLED</v>
          </cell>
          <cell r="H820">
            <v>400</v>
          </cell>
          <cell r="I820">
            <v>40725</v>
          </cell>
        </row>
        <row r="821">
          <cell r="A821" t="str">
            <v>LOW AH KHAU</v>
          </cell>
          <cell r="B821" t="str">
            <v>3 83676878</v>
          </cell>
          <cell r="C821">
            <v>38764</v>
          </cell>
          <cell r="D821" t="str">
            <v>WP LIVE</v>
          </cell>
          <cell r="E821">
            <v>41287</v>
          </cell>
          <cell r="F821" t="str">
            <v>TIER 2</v>
          </cell>
          <cell r="G821" t="str">
            <v>UNSKILLED</v>
          </cell>
          <cell r="H821">
            <v>400</v>
          </cell>
          <cell r="I821">
            <v>40725</v>
          </cell>
        </row>
        <row r="822">
          <cell r="A822" t="str">
            <v>LU LI</v>
          </cell>
          <cell r="B822" t="str">
            <v>0 7390322-</v>
          </cell>
          <cell r="C822">
            <v>40323</v>
          </cell>
          <cell r="D822" t="str">
            <v>WP LIVE</v>
          </cell>
          <cell r="E822">
            <v>41059</v>
          </cell>
          <cell r="F822" t="str">
            <v>TIER 2</v>
          </cell>
          <cell r="G822" t="str">
            <v>UNSKILLED</v>
          </cell>
          <cell r="H822">
            <v>400</v>
          </cell>
          <cell r="I822">
            <v>40323</v>
          </cell>
        </row>
        <row r="823">
          <cell r="A823" t="str">
            <v>LU WEI BIN</v>
          </cell>
          <cell r="B823" t="str">
            <v>0 73818001</v>
          </cell>
          <cell r="C823">
            <v>40281</v>
          </cell>
          <cell r="D823" t="str">
            <v>WP LIVE</v>
          </cell>
          <cell r="E823">
            <v>41013</v>
          </cell>
          <cell r="F823" t="str">
            <v>TIER 2</v>
          </cell>
          <cell r="G823" t="str">
            <v>UNSKILLED</v>
          </cell>
          <cell r="H823">
            <v>400</v>
          </cell>
          <cell r="I823">
            <v>40281</v>
          </cell>
        </row>
        <row r="824">
          <cell r="A824" t="str">
            <v>LUCIA BINTI PETRUS</v>
          </cell>
          <cell r="B824" t="str">
            <v>6 06470134</v>
          </cell>
          <cell r="C824">
            <v>40231</v>
          </cell>
          <cell r="D824" t="str">
            <v>WP LIVE</v>
          </cell>
          <cell r="E824">
            <v>41443</v>
          </cell>
          <cell r="F824" t="str">
            <v>TIER 2</v>
          </cell>
          <cell r="G824" t="str">
            <v>UNSKILLED</v>
          </cell>
          <cell r="H824">
            <v>400</v>
          </cell>
          <cell r="I824">
            <v>40725</v>
          </cell>
        </row>
        <row r="825">
          <cell r="A825" t="str">
            <v>LUO SUPING</v>
          </cell>
          <cell r="B825" t="str">
            <v>0 73805376</v>
          </cell>
          <cell r="C825">
            <v>40274</v>
          </cell>
          <cell r="D825" t="str">
            <v>WP LIVE</v>
          </cell>
          <cell r="E825">
            <v>41005</v>
          </cell>
          <cell r="F825" t="str">
            <v>TIER 2</v>
          </cell>
          <cell r="G825" t="str">
            <v>UNSKILLED</v>
          </cell>
          <cell r="H825">
            <v>400</v>
          </cell>
          <cell r="I825">
            <v>40360</v>
          </cell>
        </row>
        <row r="826">
          <cell r="A826" t="str">
            <v>LYN NORIKO ENDING</v>
          </cell>
          <cell r="B826" t="str">
            <v>4 03333565</v>
          </cell>
          <cell r="C826">
            <v>40248</v>
          </cell>
          <cell r="D826" t="str">
            <v>WP LIVE</v>
          </cell>
          <cell r="E826">
            <v>40895</v>
          </cell>
          <cell r="F826" t="str">
            <v>TIER 2</v>
          </cell>
          <cell r="G826" t="str">
            <v>UNSKILLED</v>
          </cell>
          <cell r="H826">
            <v>400</v>
          </cell>
          <cell r="I826">
            <v>40248</v>
          </cell>
        </row>
        <row r="827">
          <cell r="A827" t="str">
            <v>M INDRA DEVI A/P P MUNIANDI</v>
          </cell>
          <cell r="B827" t="str">
            <v>5 02650688</v>
          </cell>
          <cell r="C827">
            <v>39702</v>
          </cell>
          <cell r="D827" t="str">
            <v>WP LIVE</v>
          </cell>
          <cell r="E827">
            <v>40838</v>
          </cell>
          <cell r="F827" t="str">
            <v>TIER 2</v>
          </cell>
          <cell r="G827" t="str">
            <v>UNSKILLED</v>
          </cell>
          <cell r="H827">
            <v>400</v>
          </cell>
          <cell r="I827">
            <v>40725</v>
          </cell>
        </row>
        <row r="828">
          <cell r="A828" t="str">
            <v>M S SANTHY A/P SANASI</v>
          </cell>
          <cell r="B828" t="str">
            <v>5 3128660-</v>
          </cell>
          <cell r="C828">
            <v>39336</v>
          </cell>
          <cell r="D828" t="str">
            <v>WP LIVE</v>
          </cell>
          <cell r="E828">
            <v>40817</v>
          </cell>
          <cell r="F828" t="str">
            <v>TIER 2</v>
          </cell>
          <cell r="G828" t="str">
            <v>UNSKILLED</v>
          </cell>
          <cell r="H828">
            <v>400</v>
          </cell>
          <cell r="I828">
            <v>40725</v>
          </cell>
        </row>
        <row r="829">
          <cell r="A829" t="str">
            <v>M USIA A/P MACHAIVERAN</v>
          </cell>
          <cell r="B829" t="str">
            <v>5 35513716</v>
          </cell>
          <cell r="C829">
            <v>40192</v>
          </cell>
          <cell r="D829" t="str">
            <v>WP LIVE</v>
          </cell>
          <cell r="E829">
            <v>40934</v>
          </cell>
          <cell r="F829" t="str">
            <v>TIER 2</v>
          </cell>
          <cell r="G829" t="str">
            <v>UNSKILLED</v>
          </cell>
          <cell r="H829">
            <v>400</v>
          </cell>
          <cell r="I829">
            <v>40360</v>
          </cell>
        </row>
        <row r="830">
          <cell r="A830" t="str">
            <v>MA SULING</v>
          </cell>
          <cell r="B830" t="str">
            <v>0 73461618</v>
          </cell>
          <cell r="C830">
            <v>40007</v>
          </cell>
          <cell r="D830" t="str">
            <v>WP LIVE</v>
          </cell>
          <cell r="E830">
            <v>40737</v>
          </cell>
          <cell r="F830" t="str">
            <v>TIER 2</v>
          </cell>
          <cell r="G830" t="str">
            <v>UNSKILLED</v>
          </cell>
          <cell r="H830">
            <v>400</v>
          </cell>
          <cell r="I830">
            <v>40007</v>
          </cell>
        </row>
        <row r="831">
          <cell r="A831" t="str">
            <v>MA WEIHUA</v>
          </cell>
          <cell r="B831" t="str">
            <v>0 73495911</v>
          </cell>
          <cell r="C831">
            <v>40038</v>
          </cell>
          <cell r="D831" t="str">
            <v>WP LIVE</v>
          </cell>
          <cell r="E831">
            <v>40771</v>
          </cell>
          <cell r="F831" t="str">
            <v>TIER 2</v>
          </cell>
          <cell r="G831" t="str">
            <v>UNSKILLED</v>
          </cell>
          <cell r="H831">
            <v>400</v>
          </cell>
          <cell r="I831">
            <v>40725</v>
          </cell>
        </row>
        <row r="832">
          <cell r="A832" t="str">
            <v>MA XIAO XIA</v>
          </cell>
          <cell r="B832" t="str">
            <v>0 7354436-</v>
          </cell>
          <cell r="C832">
            <v>40081</v>
          </cell>
          <cell r="D832" t="str">
            <v>WP LIVE</v>
          </cell>
          <cell r="E832">
            <v>41299</v>
          </cell>
          <cell r="F832" t="str">
            <v>TIER 2</v>
          </cell>
          <cell r="G832" t="str">
            <v>UNSKILLED</v>
          </cell>
          <cell r="H832">
            <v>400</v>
          </cell>
          <cell r="I832">
            <v>40725</v>
          </cell>
        </row>
        <row r="833">
          <cell r="A833" t="str">
            <v>MA XIAOWU</v>
          </cell>
          <cell r="B833" t="str">
            <v>0 73758343</v>
          </cell>
          <cell r="C833">
            <v>40249</v>
          </cell>
          <cell r="D833" t="str">
            <v>WP LIVE</v>
          </cell>
          <cell r="E833">
            <v>40989</v>
          </cell>
          <cell r="F833" t="str">
            <v>TIER 2</v>
          </cell>
          <cell r="G833" t="str">
            <v>UNSKILLED</v>
          </cell>
          <cell r="H833">
            <v>400</v>
          </cell>
          <cell r="I833">
            <v>40249</v>
          </cell>
        </row>
        <row r="834">
          <cell r="A834" t="str">
            <v>MA XIUYAN</v>
          </cell>
          <cell r="B834" t="str">
            <v>0 73092086</v>
          </cell>
          <cell r="C834">
            <v>39777</v>
          </cell>
          <cell r="D834" t="str">
            <v>WP LIVE</v>
          </cell>
          <cell r="E834">
            <v>41237</v>
          </cell>
          <cell r="F834" t="str">
            <v>TIER 2</v>
          </cell>
          <cell r="G834" t="str">
            <v>UNSKILLED</v>
          </cell>
          <cell r="H834">
            <v>400</v>
          </cell>
          <cell r="I834">
            <v>40725</v>
          </cell>
        </row>
        <row r="835">
          <cell r="A835" t="str">
            <v>MAALA A/P MUNUSAMY</v>
          </cell>
          <cell r="B835" t="str">
            <v>5 18164619</v>
          </cell>
          <cell r="C835">
            <v>40240</v>
          </cell>
          <cell r="D835" t="str">
            <v>WP LIVE</v>
          </cell>
          <cell r="E835">
            <v>41369</v>
          </cell>
          <cell r="F835" t="str">
            <v>TIER 2</v>
          </cell>
          <cell r="G835" t="str">
            <v>UNSKILLED</v>
          </cell>
          <cell r="H835">
            <v>400</v>
          </cell>
          <cell r="I835">
            <v>40725</v>
          </cell>
        </row>
        <row r="836">
          <cell r="A836" t="str">
            <v>MAGESVARI A/P MURUGIAH</v>
          </cell>
          <cell r="B836" t="str">
            <v>5 19616734</v>
          </cell>
          <cell r="C836">
            <v>40312</v>
          </cell>
          <cell r="D836" t="str">
            <v>WP LIVE</v>
          </cell>
          <cell r="E836">
            <v>41053</v>
          </cell>
          <cell r="F836" t="str">
            <v>TIER 2</v>
          </cell>
          <cell r="G836" t="str">
            <v>UNSKILLED</v>
          </cell>
          <cell r="H836">
            <v>400</v>
          </cell>
          <cell r="I836">
            <v>40312</v>
          </cell>
        </row>
        <row r="837">
          <cell r="A837" t="str">
            <v>MAGESWARI A/P MANIAM</v>
          </cell>
          <cell r="B837" t="str">
            <v>4 00512094</v>
          </cell>
          <cell r="C837">
            <v>39762</v>
          </cell>
          <cell r="D837" t="str">
            <v>WP LIVE</v>
          </cell>
          <cell r="E837">
            <v>40946</v>
          </cell>
          <cell r="F837" t="str">
            <v>TIER 2</v>
          </cell>
          <cell r="G837" t="str">
            <v>UNSKILLED</v>
          </cell>
          <cell r="H837">
            <v>400</v>
          </cell>
          <cell r="I837">
            <v>40725</v>
          </cell>
        </row>
        <row r="838">
          <cell r="A838" t="str">
            <v>MAGESWARY A/P BALAKRISHNAN</v>
          </cell>
          <cell r="B838" t="str">
            <v>4 03183938</v>
          </cell>
          <cell r="C838">
            <v>40378</v>
          </cell>
          <cell r="D838" t="str">
            <v>WP LIVE</v>
          </cell>
          <cell r="E838">
            <v>41122</v>
          </cell>
          <cell r="F838" t="str">
            <v>TIER 2</v>
          </cell>
          <cell r="G838" t="str">
            <v>UNSKILLED</v>
          </cell>
          <cell r="H838">
            <v>400</v>
          </cell>
          <cell r="I838">
            <v>40725</v>
          </cell>
        </row>
        <row r="839">
          <cell r="A839" t="str">
            <v>MAGESWARY A/P VADIVELOO</v>
          </cell>
          <cell r="B839" t="str">
            <v>5 15159142</v>
          </cell>
          <cell r="C839">
            <v>39602</v>
          </cell>
          <cell r="D839" t="str">
            <v>WP LIVE</v>
          </cell>
          <cell r="E839">
            <v>41079</v>
          </cell>
          <cell r="F839" t="str">
            <v>TIER 2</v>
          </cell>
          <cell r="G839" t="str">
            <v>UNSKILLED</v>
          </cell>
          <cell r="H839">
            <v>400</v>
          </cell>
          <cell r="I839">
            <v>40725</v>
          </cell>
        </row>
        <row r="840">
          <cell r="A840" t="str">
            <v>MAHADEVI A/P VETHASALAM</v>
          </cell>
          <cell r="B840" t="str">
            <v>3 54461161</v>
          </cell>
          <cell r="C840">
            <v>39762</v>
          </cell>
          <cell r="D840" t="str">
            <v>WP LIVE</v>
          </cell>
          <cell r="E840">
            <v>41229</v>
          </cell>
          <cell r="F840" t="str">
            <v>TIER 2</v>
          </cell>
          <cell r="G840" t="str">
            <v>UNSKILLED</v>
          </cell>
          <cell r="H840">
            <v>400</v>
          </cell>
          <cell r="I840">
            <v>40725</v>
          </cell>
        </row>
        <row r="841">
          <cell r="A841" t="str">
            <v>MAHANI BINTI TAHIRIN</v>
          </cell>
          <cell r="B841" t="str">
            <v>3 58148387</v>
          </cell>
          <cell r="C841">
            <v>40507</v>
          </cell>
          <cell r="D841" t="str">
            <v>WP LIVE</v>
          </cell>
          <cell r="E841">
            <v>41127</v>
          </cell>
          <cell r="F841" t="str">
            <v>TIER 2</v>
          </cell>
          <cell r="G841" t="str">
            <v>UNSKILLED</v>
          </cell>
          <cell r="H841">
            <v>400</v>
          </cell>
          <cell r="I841">
            <v>40507</v>
          </cell>
        </row>
        <row r="842">
          <cell r="A842" t="str">
            <v>MAHESWARY A/P VELAYUTHAM</v>
          </cell>
          <cell r="B842" t="str">
            <v>5 21630264</v>
          </cell>
          <cell r="C842">
            <v>40147</v>
          </cell>
          <cell r="D842" t="str">
            <v>WP LIVE</v>
          </cell>
          <cell r="E842">
            <v>40890</v>
          </cell>
          <cell r="F842" t="str">
            <v>TIER 2</v>
          </cell>
          <cell r="G842" t="str">
            <v>UNSKILLED</v>
          </cell>
          <cell r="H842">
            <v>400</v>
          </cell>
          <cell r="I842">
            <v>40725</v>
          </cell>
        </row>
        <row r="843">
          <cell r="A843" t="str">
            <v>MAITYLIN REKHA A/P SARAIASI</v>
          </cell>
          <cell r="B843" t="str">
            <v>4 01734457</v>
          </cell>
          <cell r="C843">
            <v>39911</v>
          </cell>
          <cell r="D843" t="str">
            <v>WP LIVE</v>
          </cell>
          <cell r="E843">
            <v>41378</v>
          </cell>
          <cell r="F843" t="str">
            <v>TIER 2</v>
          </cell>
          <cell r="G843" t="str">
            <v>UNSKILLED</v>
          </cell>
          <cell r="H843">
            <v>400</v>
          </cell>
          <cell r="I843">
            <v>40725</v>
          </cell>
        </row>
        <row r="844">
          <cell r="A844" t="str">
            <v>MALA A/P MUNIANDY</v>
          </cell>
          <cell r="B844" t="str">
            <v>5 17460095</v>
          </cell>
          <cell r="C844">
            <v>40242</v>
          </cell>
          <cell r="D844" t="str">
            <v>WP LIVE</v>
          </cell>
          <cell r="E844">
            <v>40986</v>
          </cell>
          <cell r="F844" t="str">
            <v>TIER 2</v>
          </cell>
          <cell r="G844" t="str">
            <v>UNSKILLED</v>
          </cell>
          <cell r="H844">
            <v>400</v>
          </cell>
          <cell r="I844">
            <v>40725</v>
          </cell>
        </row>
        <row r="845">
          <cell r="A845" t="str">
            <v>MALA A/P PONNUSAMY</v>
          </cell>
          <cell r="B845" t="str">
            <v>5 20504001</v>
          </cell>
          <cell r="C845">
            <v>38951</v>
          </cell>
          <cell r="D845" t="str">
            <v>WP LIVE</v>
          </cell>
          <cell r="E845">
            <v>41367</v>
          </cell>
          <cell r="F845" t="str">
            <v>TIER 2</v>
          </cell>
          <cell r="G845" t="str">
            <v>UNSKILLED</v>
          </cell>
          <cell r="H845">
            <v>400</v>
          </cell>
          <cell r="I845">
            <v>40725</v>
          </cell>
        </row>
        <row r="846">
          <cell r="A846" t="str">
            <v>MALA A/P RAJAGOPAL</v>
          </cell>
          <cell r="B846" t="str">
            <v>4 03459844</v>
          </cell>
          <cell r="C846">
            <v>40368</v>
          </cell>
          <cell r="D846" t="str">
            <v>WP LIVE</v>
          </cell>
          <cell r="E846">
            <v>41039</v>
          </cell>
          <cell r="F846" t="str">
            <v>TIER 2</v>
          </cell>
          <cell r="G846" t="str">
            <v>UNSKILLED</v>
          </cell>
          <cell r="H846">
            <v>400</v>
          </cell>
          <cell r="I846">
            <v>40368</v>
          </cell>
        </row>
        <row r="847">
          <cell r="A847" t="str">
            <v>MALA A/P SUBRAMANIAM</v>
          </cell>
          <cell r="B847" t="str">
            <v>5 2506249-</v>
          </cell>
          <cell r="C847">
            <v>39944</v>
          </cell>
          <cell r="D847" t="str">
            <v>WP LIVE</v>
          </cell>
          <cell r="E847">
            <v>41336</v>
          </cell>
          <cell r="F847" t="str">
            <v>TIER 2</v>
          </cell>
          <cell r="G847" t="str">
            <v>UNSKILLED</v>
          </cell>
          <cell r="H847">
            <v>400</v>
          </cell>
          <cell r="I847">
            <v>40725</v>
          </cell>
        </row>
        <row r="848">
          <cell r="A848" t="str">
            <v>MALEGA A/P CHINNASAMY</v>
          </cell>
          <cell r="B848" t="str">
            <v>5 18147897</v>
          </cell>
          <cell r="C848">
            <v>40435</v>
          </cell>
          <cell r="D848" t="str">
            <v>WP LIVE</v>
          </cell>
          <cell r="E848">
            <v>41182</v>
          </cell>
          <cell r="F848" t="str">
            <v>TIER 2</v>
          </cell>
          <cell r="G848" t="str">
            <v>UNSKILLED</v>
          </cell>
          <cell r="H848">
            <v>400</v>
          </cell>
          <cell r="I848">
            <v>40435</v>
          </cell>
        </row>
        <row r="849">
          <cell r="A849" t="str">
            <v>MALEGA A/P PARASURAMAN</v>
          </cell>
          <cell r="B849" t="str">
            <v>3 60756971</v>
          </cell>
          <cell r="C849">
            <v>40298</v>
          </cell>
          <cell r="D849" t="str">
            <v>WP LIVE</v>
          </cell>
          <cell r="E849">
            <v>41047</v>
          </cell>
          <cell r="F849" t="str">
            <v>TIER 2</v>
          </cell>
          <cell r="G849" t="str">
            <v>UNSKILLED</v>
          </cell>
          <cell r="H849">
            <v>400</v>
          </cell>
          <cell r="I849">
            <v>40360</v>
          </cell>
        </row>
        <row r="850">
          <cell r="A850" t="str">
            <v>MALEGA A/P SITHAMBARAM</v>
          </cell>
          <cell r="B850" t="str">
            <v>3 74961292</v>
          </cell>
          <cell r="C850">
            <v>40347</v>
          </cell>
          <cell r="D850" t="str">
            <v>WP LIVE</v>
          </cell>
          <cell r="E850">
            <v>41043</v>
          </cell>
          <cell r="F850" t="str">
            <v>TIER 2</v>
          </cell>
          <cell r="G850" t="str">
            <v>UNSKILLED</v>
          </cell>
          <cell r="H850">
            <v>400</v>
          </cell>
          <cell r="I850">
            <v>40347</v>
          </cell>
        </row>
        <row r="851">
          <cell r="A851" t="str">
            <v>MALIGA A/P MANIKAM</v>
          </cell>
          <cell r="B851" t="str">
            <v>3 8251565-</v>
          </cell>
          <cell r="C851">
            <v>39728</v>
          </cell>
          <cell r="D851" t="str">
            <v>WP LIVE</v>
          </cell>
          <cell r="E851">
            <v>41215</v>
          </cell>
          <cell r="F851" t="str">
            <v>TIER 2</v>
          </cell>
          <cell r="G851" t="str">
            <v>UNSKILLED</v>
          </cell>
          <cell r="H851">
            <v>400</v>
          </cell>
          <cell r="I851">
            <v>39728</v>
          </cell>
        </row>
        <row r="852">
          <cell r="A852" t="str">
            <v>MALIGAL A/P PERIASAMY</v>
          </cell>
          <cell r="B852" t="str">
            <v>3 61595548</v>
          </cell>
          <cell r="C852">
            <v>38910</v>
          </cell>
          <cell r="D852" t="str">
            <v>WP LIVE</v>
          </cell>
          <cell r="E852">
            <v>41071</v>
          </cell>
          <cell r="F852" t="str">
            <v>TIER 2</v>
          </cell>
          <cell r="G852" t="str">
            <v>UNSKILLED</v>
          </cell>
          <cell r="H852">
            <v>400</v>
          </cell>
          <cell r="I852">
            <v>40725</v>
          </cell>
        </row>
        <row r="853">
          <cell r="A853" t="str">
            <v>MALIUS MATIGAT</v>
          </cell>
          <cell r="B853" t="str">
            <v>6 08226834</v>
          </cell>
          <cell r="C853">
            <v>40094</v>
          </cell>
          <cell r="D853" t="str">
            <v>WP LIVE</v>
          </cell>
          <cell r="E853">
            <v>40856</v>
          </cell>
          <cell r="F853" t="str">
            <v>TIER 2</v>
          </cell>
          <cell r="G853" t="str">
            <v>UNSKILLED</v>
          </cell>
          <cell r="H853">
            <v>400</v>
          </cell>
          <cell r="I853">
            <v>40725</v>
          </cell>
        </row>
        <row r="854">
          <cell r="A854" t="str">
            <v>MANI A/L VENKATARAMAN</v>
          </cell>
          <cell r="B854" t="str">
            <v>4 0303729-</v>
          </cell>
          <cell r="C854">
            <v>39762</v>
          </cell>
          <cell r="D854" t="str">
            <v>WP LIVE</v>
          </cell>
          <cell r="E854">
            <v>41205</v>
          </cell>
          <cell r="F854" t="str">
            <v>TIER 2</v>
          </cell>
          <cell r="G854" t="str">
            <v>UNSKILLED</v>
          </cell>
          <cell r="H854">
            <v>400</v>
          </cell>
          <cell r="I854">
            <v>40725</v>
          </cell>
        </row>
        <row r="855">
          <cell r="A855" t="str">
            <v>MANJU BIN SUMBILANG</v>
          </cell>
          <cell r="B855" t="str">
            <v>6 08183965</v>
          </cell>
          <cell r="C855">
            <v>39730</v>
          </cell>
          <cell r="D855" t="str">
            <v>WP LIVE</v>
          </cell>
          <cell r="E855">
            <v>41204</v>
          </cell>
          <cell r="F855" t="str">
            <v>TIER 2</v>
          </cell>
          <cell r="G855" t="str">
            <v>UNSKILLED</v>
          </cell>
          <cell r="H855">
            <v>400</v>
          </cell>
          <cell r="I855">
            <v>40725</v>
          </cell>
        </row>
        <row r="856">
          <cell r="A856" t="str">
            <v>MANOHARAN A/L ARUMUGAM</v>
          </cell>
          <cell r="B856" t="str">
            <v>3 71987061</v>
          </cell>
          <cell r="C856">
            <v>39616</v>
          </cell>
          <cell r="D856" t="str">
            <v>WP LIVE</v>
          </cell>
          <cell r="E856">
            <v>41051</v>
          </cell>
          <cell r="F856" t="str">
            <v>TIER 2</v>
          </cell>
          <cell r="G856" t="str">
            <v>UNSKILLED</v>
          </cell>
          <cell r="H856">
            <v>400</v>
          </cell>
          <cell r="I856">
            <v>40725</v>
          </cell>
        </row>
        <row r="857">
          <cell r="A857" t="str">
            <v>MANOJ KUMAR A/L KERISNAN</v>
          </cell>
          <cell r="B857" t="str">
            <v>4 03216437</v>
          </cell>
          <cell r="C857">
            <v>40290</v>
          </cell>
          <cell r="D857" t="str">
            <v>WP LIVE</v>
          </cell>
          <cell r="E857">
            <v>41032</v>
          </cell>
          <cell r="F857" t="str">
            <v>TIER 2</v>
          </cell>
          <cell r="G857" t="str">
            <v>UNSKILLED</v>
          </cell>
          <cell r="H857">
            <v>400</v>
          </cell>
          <cell r="I857">
            <v>40360</v>
          </cell>
        </row>
        <row r="858">
          <cell r="A858" t="str">
            <v>MANOTHARAN A/L PERIASAMY</v>
          </cell>
          <cell r="B858" t="str">
            <v>3 82354702</v>
          </cell>
          <cell r="C858">
            <v>38671</v>
          </cell>
          <cell r="D858" t="str">
            <v>WP LIVE</v>
          </cell>
          <cell r="E858">
            <v>40877</v>
          </cell>
          <cell r="F858" t="str">
            <v>TIER 2</v>
          </cell>
          <cell r="G858" t="str">
            <v>UNSKILLED</v>
          </cell>
          <cell r="H858">
            <v>400</v>
          </cell>
          <cell r="I858">
            <v>40725</v>
          </cell>
        </row>
        <row r="859">
          <cell r="A859" t="str">
            <v>MAREAMAH A/P SUBRAMANIAM</v>
          </cell>
          <cell r="B859" t="str">
            <v>5 38877689</v>
          </cell>
          <cell r="C859">
            <v>40234</v>
          </cell>
          <cell r="D859" t="str">
            <v>WP LIVE</v>
          </cell>
          <cell r="E859">
            <v>40927</v>
          </cell>
          <cell r="F859" t="str">
            <v>TIER 2</v>
          </cell>
          <cell r="G859" t="str">
            <v>UNSKILLED</v>
          </cell>
          <cell r="H859">
            <v>400</v>
          </cell>
          <cell r="I859">
            <v>40234</v>
          </cell>
        </row>
        <row r="860">
          <cell r="A860" t="str">
            <v>MARIAMA A/P ANNAMALAI</v>
          </cell>
          <cell r="B860" t="str">
            <v>3 56374746</v>
          </cell>
          <cell r="C860">
            <v>40036</v>
          </cell>
          <cell r="D860" t="str">
            <v>WP LIVE</v>
          </cell>
          <cell r="E860">
            <v>40788</v>
          </cell>
          <cell r="F860" t="str">
            <v>TIER 2</v>
          </cell>
          <cell r="G860" t="str">
            <v>UNSKILLED</v>
          </cell>
          <cell r="H860">
            <v>400</v>
          </cell>
          <cell r="I860">
            <v>40725</v>
          </cell>
        </row>
        <row r="861">
          <cell r="A861" t="str">
            <v>MARIAMAH A/P MANIAM</v>
          </cell>
          <cell r="B861" t="str">
            <v>5 26962524</v>
          </cell>
          <cell r="C861">
            <v>39731</v>
          </cell>
          <cell r="D861" t="str">
            <v>WP LIVE</v>
          </cell>
          <cell r="E861">
            <v>41057</v>
          </cell>
          <cell r="F861" t="str">
            <v>TIER 2</v>
          </cell>
          <cell r="G861" t="str">
            <v>UNSKILLED</v>
          </cell>
          <cell r="H861">
            <v>400</v>
          </cell>
          <cell r="I861">
            <v>40725</v>
          </cell>
        </row>
        <row r="862">
          <cell r="A862" t="str">
            <v>MARIYAEE A/P VENGDASALAM</v>
          </cell>
          <cell r="B862" t="str">
            <v>5 02316214</v>
          </cell>
          <cell r="C862">
            <v>40350</v>
          </cell>
          <cell r="D862" t="str">
            <v>WP LIVE</v>
          </cell>
          <cell r="E862">
            <v>41089</v>
          </cell>
          <cell r="F862" t="str">
            <v>TIER 2</v>
          </cell>
          <cell r="G862" t="str">
            <v>UNSKILLED</v>
          </cell>
          <cell r="H862">
            <v>400</v>
          </cell>
          <cell r="I862">
            <v>40360</v>
          </cell>
        </row>
        <row r="863">
          <cell r="A863" t="str">
            <v>MARIYAI A/P V SUPPIAH</v>
          </cell>
          <cell r="B863" t="str">
            <v>3 81519120</v>
          </cell>
          <cell r="C863">
            <v>40332</v>
          </cell>
          <cell r="D863" t="str">
            <v>WP LIVE</v>
          </cell>
          <cell r="E863">
            <v>41080</v>
          </cell>
          <cell r="F863" t="str">
            <v>TIER 2</v>
          </cell>
          <cell r="G863" t="str">
            <v>UNSKILLED</v>
          </cell>
          <cell r="H863">
            <v>400</v>
          </cell>
          <cell r="I863">
            <v>40360</v>
          </cell>
        </row>
        <row r="864">
          <cell r="A864" t="str">
            <v>MARIYAMMA A/P MUNUSAMY</v>
          </cell>
          <cell r="B864" t="str">
            <v>4 03234591</v>
          </cell>
          <cell r="C864">
            <v>40120</v>
          </cell>
          <cell r="D864" t="str">
            <v>WP LIVE</v>
          </cell>
          <cell r="E864">
            <v>40865</v>
          </cell>
          <cell r="F864" t="str">
            <v>TIER 2</v>
          </cell>
          <cell r="G864" t="str">
            <v>UNSKILLED</v>
          </cell>
          <cell r="H864">
            <v>400</v>
          </cell>
          <cell r="I864">
            <v>40120</v>
          </cell>
        </row>
        <row r="865">
          <cell r="A865" t="str">
            <v>MARIYAMMAH A/P THURAIRAJU</v>
          </cell>
          <cell r="B865" t="str">
            <v>5 35343349</v>
          </cell>
          <cell r="C865">
            <v>40189</v>
          </cell>
          <cell r="D865" t="str">
            <v>WP LIVE</v>
          </cell>
          <cell r="E865">
            <v>40926</v>
          </cell>
          <cell r="F865" t="str">
            <v>TIER 2</v>
          </cell>
          <cell r="G865" t="str">
            <v>UNSKILLED</v>
          </cell>
          <cell r="H865">
            <v>400</v>
          </cell>
          <cell r="I865">
            <v>40725</v>
          </cell>
        </row>
        <row r="866">
          <cell r="A866" t="str">
            <v>MARNI BINTI ARA</v>
          </cell>
          <cell r="B866" t="str">
            <v>6 09205288</v>
          </cell>
          <cell r="C866">
            <v>40490</v>
          </cell>
          <cell r="D866" t="str">
            <v>WP LIVE</v>
          </cell>
          <cell r="E866">
            <v>41235</v>
          </cell>
          <cell r="F866" t="str">
            <v>TIER 2</v>
          </cell>
          <cell r="G866" t="str">
            <v>UNSKILLED</v>
          </cell>
          <cell r="H866">
            <v>400</v>
          </cell>
          <cell r="I866">
            <v>40490</v>
          </cell>
        </row>
        <row r="867">
          <cell r="A867" t="str">
            <v>MARUGESU A/L DORASAMY</v>
          </cell>
          <cell r="B867" t="str">
            <v>3 59556381</v>
          </cell>
          <cell r="C867">
            <v>40051</v>
          </cell>
          <cell r="D867" t="str">
            <v>WP LIVE</v>
          </cell>
          <cell r="E867">
            <v>40800</v>
          </cell>
          <cell r="F867" t="str">
            <v>TIER 2</v>
          </cell>
          <cell r="G867" t="str">
            <v>UNSKILLED</v>
          </cell>
          <cell r="H867">
            <v>400</v>
          </cell>
          <cell r="I867">
            <v>40725</v>
          </cell>
        </row>
        <row r="868">
          <cell r="A868" t="str">
            <v>MASRI YUNUS</v>
          </cell>
          <cell r="B868" t="str">
            <v>4 0176996-</v>
          </cell>
          <cell r="C868">
            <v>39021</v>
          </cell>
          <cell r="D868" t="str">
            <v>WP LIVE</v>
          </cell>
          <cell r="E868">
            <v>40846</v>
          </cell>
          <cell r="F868" t="str">
            <v>TIER 2</v>
          </cell>
          <cell r="G868" t="str">
            <v>UNSKILLED</v>
          </cell>
          <cell r="H868">
            <v>400</v>
          </cell>
          <cell r="I868">
            <v>40725</v>
          </cell>
        </row>
        <row r="869">
          <cell r="A869" t="str">
            <v>MASRINO BIN NGAPA</v>
          </cell>
          <cell r="B869" t="str">
            <v>4 01705066</v>
          </cell>
          <cell r="C869">
            <v>40271</v>
          </cell>
          <cell r="D869" t="str">
            <v>WP LIVE</v>
          </cell>
          <cell r="E869">
            <v>41010</v>
          </cell>
          <cell r="F869" t="str">
            <v>TIER 2</v>
          </cell>
          <cell r="G869" t="str">
            <v>UNSKILLED</v>
          </cell>
          <cell r="H869">
            <v>400</v>
          </cell>
          <cell r="I869">
            <v>40360</v>
          </cell>
        </row>
        <row r="870">
          <cell r="A870" t="str">
            <v>MASYUDIN BIN MIAT</v>
          </cell>
          <cell r="B870" t="str">
            <v>4 03582921</v>
          </cell>
          <cell r="C870">
            <v>40483</v>
          </cell>
          <cell r="D870" t="str">
            <v>WP LIVE</v>
          </cell>
          <cell r="E870">
            <v>41231</v>
          </cell>
          <cell r="F870" t="str">
            <v>TIER 2</v>
          </cell>
          <cell r="G870" t="str">
            <v>UNSKILLED</v>
          </cell>
          <cell r="H870">
            <v>400</v>
          </cell>
          <cell r="I870">
            <v>40725</v>
          </cell>
        </row>
        <row r="871">
          <cell r="A871" t="str">
            <v>MATHAVAN NAIR A/L RAGAWAN</v>
          </cell>
          <cell r="B871" t="str">
            <v>4 03095370</v>
          </cell>
          <cell r="C871">
            <v>40283</v>
          </cell>
          <cell r="D871" t="str">
            <v>WP LIVE</v>
          </cell>
          <cell r="E871">
            <v>40873</v>
          </cell>
          <cell r="F871" t="str">
            <v>TIER 2</v>
          </cell>
          <cell r="G871" t="str">
            <v>UNSKILLED</v>
          </cell>
          <cell r="H871">
            <v>400</v>
          </cell>
          <cell r="I871">
            <v>40360</v>
          </cell>
        </row>
        <row r="872">
          <cell r="A872" t="str">
            <v>MAZIAH BINTI SALIR</v>
          </cell>
          <cell r="B872" t="str">
            <v>4 02841966</v>
          </cell>
          <cell r="C872">
            <v>39546</v>
          </cell>
          <cell r="D872" t="str">
            <v>WP LIVE</v>
          </cell>
          <cell r="E872">
            <v>41026</v>
          </cell>
          <cell r="F872" t="str">
            <v>TIER 2</v>
          </cell>
          <cell r="G872" t="str">
            <v>UNSKILLED</v>
          </cell>
          <cell r="H872">
            <v>400</v>
          </cell>
          <cell r="I872">
            <v>40725</v>
          </cell>
        </row>
        <row r="873">
          <cell r="A873" t="str">
            <v>MAZNAH BINTI BAKAR</v>
          </cell>
          <cell r="B873" t="str">
            <v>3 7032753-</v>
          </cell>
          <cell r="C873">
            <v>40450</v>
          </cell>
          <cell r="D873" t="str">
            <v>WP LIVE</v>
          </cell>
          <cell r="E873">
            <v>41199</v>
          </cell>
          <cell r="F873" t="str">
            <v>TIER 2</v>
          </cell>
          <cell r="G873" t="str">
            <v>UNSKILLED</v>
          </cell>
          <cell r="H873">
            <v>400</v>
          </cell>
          <cell r="I873">
            <v>40450</v>
          </cell>
        </row>
        <row r="874">
          <cell r="A874" t="str">
            <v>MD ALI BIN MUNIR</v>
          </cell>
          <cell r="B874" t="str">
            <v>3 83548608</v>
          </cell>
          <cell r="C874">
            <v>40351</v>
          </cell>
          <cell r="D874" t="str">
            <v>WP LIVE</v>
          </cell>
          <cell r="E874">
            <v>41103</v>
          </cell>
          <cell r="F874" t="str">
            <v>TIER 2</v>
          </cell>
          <cell r="G874" t="str">
            <v>UNSKILLED</v>
          </cell>
          <cell r="H874">
            <v>400</v>
          </cell>
          <cell r="I874">
            <v>40351</v>
          </cell>
        </row>
        <row r="875">
          <cell r="A875" t="str">
            <v>MEENA A/P RAMASAMY</v>
          </cell>
          <cell r="B875" t="str">
            <v>3 55101118</v>
          </cell>
          <cell r="C875">
            <v>40452</v>
          </cell>
          <cell r="D875" t="str">
            <v>WP LIVE</v>
          </cell>
          <cell r="E875">
            <v>41030</v>
          </cell>
          <cell r="F875" t="str">
            <v>TIER 2</v>
          </cell>
          <cell r="G875" t="str">
            <v>UNSKILLED</v>
          </cell>
          <cell r="H875">
            <v>400</v>
          </cell>
          <cell r="I875">
            <v>40725</v>
          </cell>
        </row>
        <row r="876">
          <cell r="A876" t="str">
            <v>MEI DE FENG</v>
          </cell>
          <cell r="B876" t="str">
            <v>0 73920582</v>
          </cell>
          <cell r="C876">
            <v>40336</v>
          </cell>
          <cell r="D876" t="str">
            <v>WP LIVE</v>
          </cell>
          <cell r="E876">
            <v>41070</v>
          </cell>
          <cell r="F876" t="str">
            <v>TIER 2</v>
          </cell>
          <cell r="G876" t="str">
            <v>UNSKILLED</v>
          </cell>
          <cell r="H876">
            <v>400</v>
          </cell>
          <cell r="I876">
            <v>40360</v>
          </cell>
        </row>
        <row r="877">
          <cell r="A877" t="str">
            <v>MELAH @ JAMILAH BT PELAJAR @ ABDULLAH</v>
          </cell>
          <cell r="B877" t="str">
            <v>3 59669135</v>
          </cell>
          <cell r="C877">
            <v>40085</v>
          </cell>
          <cell r="D877" t="str">
            <v>WP LIVE</v>
          </cell>
          <cell r="E877">
            <v>40827</v>
          </cell>
          <cell r="F877" t="str">
            <v>TIER 2</v>
          </cell>
          <cell r="G877" t="str">
            <v>UNSKILLED</v>
          </cell>
          <cell r="H877">
            <v>400</v>
          </cell>
          <cell r="I877">
            <v>40725</v>
          </cell>
        </row>
        <row r="878">
          <cell r="A878" t="str">
            <v>MENAGADHEVI A/P A SUPPIAH</v>
          </cell>
          <cell r="B878" t="str">
            <v>5 10187490</v>
          </cell>
          <cell r="C878">
            <v>40332</v>
          </cell>
          <cell r="D878" t="str">
            <v>WP LIVE</v>
          </cell>
          <cell r="E878">
            <v>41018</v>
          </cell>
          <cell r="F878" t="str">
            <v>TIER 2</v>
          </cell>
          <cell r="G878" t="str">
            <v>UNSKILLED</v>
          </cell>
          <cell r="H878">
            <v>400</v>
          </cell>
          <cell r="I878">
            <v>40360</v>
          </cell>
        </row>
        <row r="879">
          <cell r="A879" t="str">
            <v>MISKAM BIN KASIO</v>
          </cell>
          <cell r="B879" t="str">
            <v>3 60265749</v>
          </cell>
          <cell r="C879">
            <v>39891</v>
          </cell>
          <cell r="D879" t="str">
            <v>WP LIVE</v>
          </cell>
          <cell r="E879">
            <v>40922</v>
          </cell>
          <cell r="F879" t="str">
            <v>TIER 2</v>
          </cell>
          <cell r="G879" t="str">
            <v>UNSKILLED</v>
          </cell>
          <cell r="H879">
            <v>400</v>
          </cell>
          <cell r="I879">
            <v>40725</v>
          </cell>
        </row>
        <row r="880">
          <cell r="A880" t="str">
            <v>MOHAMAD BIN AHMAD</v>
          </cell>
          <cell r="B880" t="str">
            <v>4 02092637</v>
          </cell>
          <cell r="C880">
            <v>38797</v>
          </cell>
          <cell r="D880" t="str">
            <v>WP LIVE</v>
          </cell>
          <cell r="E880">
            <v>41319</v>
          </cell>
          <cell r="F880" t="str">
            <v>TIER 2</v>
          </cell>
          <cell r="G880" t="str">
            <v>UNSKILLED</v>
          </cell>
          <cell r="H880">
            <v>400</v>
          </cell>
          <cell r="I880">
            <v>40725</v>
          </cell>
        </row>
        <row r="881">
          <cell r="A881" t="str">
            <v>MOHAMAD FADZLI BIN JAMALUDIN</v>
          </cell>
          <cell r="B881" t="str">
            <v>4 03469319</v>
          </cell>
          <cell r="C881">
            <v>40500</v>
          </cell>
          <cell r="D881" t="str">
            <v>WP LIVE</v>
          </cell>
          <cell r="E881">
            <v>40920</v>
          </cell>
          <cell r="F881" t="str">
            <v>TIER 2</v>
          </cell>
          <cell r="G881" t="str">
            <v>UNSKILLED</v>
          </cell>
          <cell r="H881">
            <v>400</v>
          </cell>
          <cell r="I881">
            <v>40500</v>
          </cell>
        </row>
        <row r="882">
          <cell r="A882" t="str">
            <v>MOHAMAD HASRUL BIN EMBONG</v>
          </cell>
          <cell r="B882" t="str">
            <v>4 02731893</v>
          </cell>
          <cell r="C882">
            <v>39433</v>
          </cell>
          <cell r="D882" t="str">
            <v>WP LIVE</v>
          </cell>
          <cell r="E882">
            <v>41358</v>
          </cell>
          <cell r="F882" t="str">
            <v>TIER 2</v>
          </cell>
          <cell r="G882" t="str">
            <v>UNSKILLED</v>
          </cell>
          <cell r="H882">
            <v>400</v>
          </cell>
          <cell r="I882">
            <v>40725</v>
          </cell>
        </row>
        <row r="883">
          <cell r="A883" t="str">
            <v>MOHAMAD JAIDIN BIN HAMID</v>
          </cell>
          <cell r="B883" t="str">
            <v>4 0178960-</v>
          </cell>
          <cell r="C883">
            <v>39356</v>
          </cell>
          <cell r="D883" t="str">
            <v>WP LIVE</v>
          </cell>
          <cell r="E883">
            <v>40837</v>
          </cell>
          <cell r="F883" t="str">
            <v>TIER 2</v>
          </cell>
          <cell r="G883" t="str">
            <v>UNSKILLED</v>
          </cell>
          <cell r="H883">
            <v>400</v>
          </cell>
          <cell r="I883">
            <v>40118</v>
          </cell>
        </row>
        <row r="884">
          <cell r="A884" t="str">
            <v>MOHAMAD SAHLAN BIN LAJIM</v>
          </cell>
          <cell r="B884" t="str">
            <v>4 02318805</v>
          </cell>
          <cell r="C884">
            <v>39456</v>
          </cell>
          <cell r="D884" t="str">
            <v>WP LIVE</v>
          </cell>
          <cell r="E884">
            <v>40820</v>
          </cell>
          <cell r="F884" t="str">
            <v>TIER 2</v>
          </cell>
          <cell r="G884" t="str">
            <v>UNSKILLED</v>
          </cell>
          <cell r="H884">
            <v>400</v>
          </cell>
          <cell r="I884">
            <v>40725</v>
          </cell>
        </row>
        <row r="885">
          <cell r="A885" t="str">
            <v>MOHAMAD SHAFIE BIN A RAHMAN</v>
          </cell>
          <cell r="B885" t="str">
            <v>5 35135339</v>
          </cell>
          <cell r="C885">
            <v>40386</v>
          </cell>
          <cell r="D885" t="str">
            <v>WP LIVE</v>
          </cell>
          <cell r="E885">
            <v>40808</v>
          </cell>
          <cell r="F885" t="str">
            <v>TIER 2</v>
          </cell>
          <cell r="G885" t="str">
            <v>UNSKILLED</v>
          </cell>
          <cell r="H885">
            <v>400</v>
          </cell>
          <cell r="I885">
            <v>40725</v>
          </cell>
        </row>
        <row r="886">
          <cell r="A886" t="str">
            <v>MOHAMMAD RAZALI BIN ABU BAKAR</v>
          </cell>
          <cell r="B886" t="str">
            <v>5 01936316</v>
          </cell>
          <cell r="C886">
            <v>40259</v>
          </cell>
          <cell r="D886" t="str">
            <v>WP LIVE</v>
          </cell>
          <cell r="E886">
            <v>40997</v>
          </cell>
          <cell r="F886" t="str">
            <v>TIER 2</v>
          </cell>
          <cell r="G886" t="str">
            <v>UNSKILLED</v>
          </cell>
          <cell r="H886">
            <v>400</v>
          </cell>
          <cell r="I886">
            <v>40725</v>
          </cell>
        </row>
        <row r="887">
          <cell r="A887" t="str">
            <v>MOHAMMAD REDUAN BIN ALIAS</v>
          </cell>
          <cell r="B887" t="str">
            <v>4 03365084</v>
          </cell>
          <cell r="C887">
            <v>40271</v>
          </cell>
          <cell r="D887" t="str">
            <v>WP LIVE</v>
          </cell>
          <cell r="E887">
            <v>40968</v>
          </cell>
          <cell r="F887" t="str">
            <v>TIER 2</v>
          </cell>
          <cell r="G887" t="str">
            <v>UNSKILLED</v>
          </cell>
          <cell r="H887">
            <v>400</v>
          </cell>
          <cell r="I887">
            <v>40360</v>
          </cell>
        </row>
        <row r="888">
          <cell r="A888" t="str">
            <v>MOHAN A/L MURUGESU</v>
          </cell>
          <cell r="B888" t="str">
            <v>4 03534005</v>
          </cell>
          <cell r="C888">
            <v>40421</v>
          </cell>
          <cell r="D888" t="str">
            <v>WP LIVE</v>
          </cell>
          <cell r="E888">
            <v>41172</v>
          </cell>
          <cell r="F888" t="str">
            <v>TIER 2</v>
          </cell>
          <cell r="G888" t="str">
            <v>UNSKILLED</v>
          </cell>
          <cell r="H888">
            <v>400</v>
          </cell>
          <cell r="I888">
            <v>40725</v>
          </cell>
        </row>
        <row r="889">
          <cell r="A889" t="str">
            <v>MOHD ALIP BIN ASNAN</v>
          </cell>
          <cell r="B889" t="str">
            <v>4 03219215</v>
          </cell>
          <cell r="C889">
            <v>40099</v>
          </cell>
          <cell r="D889" t="str">
            <v>WP LIVE</v>
          </cell>
          <cell r="E889">
            <v>40842</v>
          </cell>
          <cell r="F889" t="str">
            <v>TIER 2</v>
          </cell>
          <cell r="G889" t="str">
            <v>UNSKILLED</v>
          </cell>
          <cell r="H889">
            <v>400</v>
          </cell>
          <cell r="I889">
            <v>40725</v>
          </cell>
        </row>
        <row r="890">
          <cell r="A890" t="str">
            <v>MOHD ARIFFIN BIN ABDUL</v>
          </cell>
          <cell r="B890" t="str">
            <v>5 38990809</v>
          </cell>
          <cell r="C890">
            <v>40415</v>
          </cell>
          <cell r="D890" t="str">
            <v>WP LIVE</v>
          </cell>
          <cell r="E890">
            <v>41154</v>
          </cell>
          <cell r="F890" t="str">
            <v>TIER 2</v>
          </cell>
          <cell r="G890" t="str">
            <v>UNSKILLED</v>
          </cell>
          <cell r="H890">
            <v>400</v>
          </cell>
          <cell r="I890">
            <v>40415</v>
          </cell>
        </row>
        <row r="891">
          <cell r="A891" t="str">
            <v>MOHD ARIFFIN BIN ZAKARIA</v>
          </cell>
          <cell r="B891" t="str">
            <v>5 28750532</v>
          </cell>
          <cell r="C891">
            <v>40346</v>
          </cell>
          <cell r="D891" t="str">
            <v>WP LIVE</v>
          </cell>
          <cell r="E891">
            <v>41044</v>
          </cell>
          <cell r="F891" t="str">
            <v>TIER 2</v>
          </cell>
          <cell r="G891" t="str">
            <v>UNSKILLED</v>
          </cell>
          <cell r="H891">
            <v>400</v>
          </cell>
          <cell r="I891">
            <v>40346</v>
          </cell>
        </row>
        <row r="892">
          <cell r="A892" t="str">
            <v>MOHD AZLAN BIN LACOKEN</v>
          </cell>
          <cell r="B892" t="str">
            <v>4 02380543</v>
          </cell>
          <cell r="C892">
            <v>39101</v>
          </cell>
          <cell r="D892" t="str">
            <v>WP LIVE</v>
          </cell>
          <cell r="E892">
            <v>40892</v>
          </cell>
          <cell r="F892" t="str">
            <v>TIER 2</v>
          </cell>
          <cell r="G892" t="str">
            <v>UNSKILLED</v>
          </cell>
          <cell r="H892">
            <v>400</v>
          </cell>
          <cell r="I892">
            <v>40725</v>
          </cell>
        </row>
        <row r="893">
          <cell r="A893" t="str">
            <v>MOHD FAIZAL BIN BIDIN</v>
          </cell>
          <cell r="B893" t="str">
            <v>4 03308617</v>
          </cell>
          <cell r="C893">
            <v>40227</v>
          </cell>
          <cell r="D893" t="str">
            <v>WP LIVE</v>
          </cell>
          <cell r="E893">
            <v>40968</v>
          </cell>
          <cell r="F893" t="str">
            <v>TIER 2</v>
          </cell>
          <cell r="G893" t="str">
            <v>UNSKILLED</v>
          </cell>
          <cell r="H893">
            <v>400</v>
          </cell>
          <cell r="I893">
            <v>40725</v>
          </cell>
        </row>
        <row r="894">
          <cell r="A894" t="str">
            <v>MOHD FATHI BIN MOHD YUSOFF</v>
          </cell>
          <cell r="B894" t="str">
            <v>4 03488364</v>
          </cell>
          <cell r="C894">
            <v>40371</v>
          </cell>
          <cell r="D894" t="str">
            <v>WP LIVE</v>
          </cell>
          <cell r="E894">
            <v>41036</v>
          </cell>
          <cell r="F894" t="str">
            <v>TIER 2</v>
          </cell>
          <cell r="G894" t="str">
            <v>UNSKILLED</v>
          </cell>
          <cell r="H894">
            <v>400</v>
          </cell>
          <cell r="I894">
            <v>40371</v>
          </cell>
        </row>
        <row r="895">
          <cell r="A895" t="str">
            <v>MOHD HAFIZ BIN MASHAR</v>
          </cell>
          <cell r="B895" t="str">
            <v>4 03133701</v>
          </cell>
          <cell r="C895">
            <v>40392</v>
          </cell>
          <cell r="D895" t="str">
            <v>WP LIVE</v>
          </cell>
          <cell r="E895">
            <v>41145</v>
          </cell>
          <cell r="F895" t="str">
            <v>TIER 2</v>
          </cell>
          <cell r="G895" t="str">
            <v>UNSKILLED</v>
          </cell>
          <cell r="H895">
            <v>400</v>
          </cell>
          <cell r="I895">
            <v>40725</v>
          </cell>
        </row>
        <row r="896">
          <cell r="A896" t="str">
            <v>MOHD HUSSIN BIN SHAM</v>
          </cell>
          <cell r="B896" t="str">
            <v>3 48093444</v>
          </cell>
          <cell r="C896">
            <v>40199</v>
          </cell>
          <cell r="D896" t="str">
            <v>WP LIVE</v>
          </cell>
          <cell r="E896">
            <v>41416</v>
          </cell>
          <cell r="F896" t="str">
            <v>TIER 2</v>
          </cell>
          <cell r="G896" t="str">
            <v>UNSKILLED</v>
          </cell>
          <cell r="H896">
            <v>400</v>
          </cell>
          <cell r="I896">
            <v>40725</v>
          </cell>
        </row>
        <row r="897">
          <cell r="A897" t="str">
            <v>MOHD ISKANDAR SHAH UNONG ABDULLAH</v>
          </cell>
          <cell r="B897" t="str">
            <v>4 01490760</v>
          </cell>
          <cell r="C897">
            <v>40147</v>
          </cell>
          <cell r="D897" t="str">
            <v>WP LIVE</v>
          </cell>
          <cell r="E897">
            <v>40899</v>
          </cell>
          <cell r="F897" t="str">
            <v>TIER 2</v>
          </cell>
          <cell r="G897" t="str">
            <v>UNSKILLED</v>
          </cell>
          <cell r="H897">
            <v>400</v>
          </cell>
          <cell r="I897">
            <v>40725</v>
          </cell>
        </row>
        <row r="898">
          <cell r="A898" t="str">
            <v>MOHD KHARIL BIN MOHAMMAD</v>
          </cell>
          <cell r="B898" t="str">
            <v>4 0204957-</v>
          </cell>
          <cell r="C898">
            <v>38761</v>
          </cell>
          <cell r="D898" t="str">
            <v>WP LIVE</v>
          </cell>
          <cell r="E898">
            <v>40890</v>
          </cell>
          <cell r="F898" t="str">
            <v>TIER 2</v>
          </cell>
          <cell r="G898" t="str">
            <v>UNSKILLED</v>
          </cell>
          <cell r="H898">
            <v>400</v>
          </cell>
          <cell r="I898">
            <v>40725</v>
          </cell>
        </row>
        <row r="899">
          <cell r="A899" t="str">
            <v>MOHD NAZRI BIN KERNENI</v>
          </cell>
          <cell r="B899" t="str">
            <v>4 03144843</v>
          </cell>
          <cell r="C899">
            <v>40001</v>
          </cell>
          <cell r="D899" t="str">
            <v>WP LIVE</v>
          </cell>
          <cell r="E899">
            <v>40737</v>
          </cell>
          <cell r="F899" t="str">
            <v>TIER 2</v>
          </cell>
          <cell r="G899" t="str">
            <v>UNSKILLED</v>
          </cell>
          <cell r="H899">
            <v>400</v>
          </cell>
          <cell r="I899">
            <v>40725</v>
          </cell>
        </row>
        <row r="900">
          <cell r="A900" t="str">
            <v>MOHD SAFIEE BIN AYEM</v>
          </cell>
          <cell r="B900" t="str">
            <v>5 15158820</v>
          </cell>
          <cell r="C900">
            <v>38645</v>
          </cell>
          <cell r="D900" t="str">
            <v>WP LIVE</v>
          </cell>
          <cell r="E900">
            <v>41134</v>
          </cell>
          <cell r="F900" t="str">
            <v>TIER 2</v>
          </cell>
          <cell r="G900" t="str">
            <v>UNSKILLED</v>
          </cell>
          <cell r="H900">
            <v>400</v>
          </cell>
          <cell r="I900">
            <v>40725</v>
          </cell>
        </row>
        <row r="901">
          <cell r="A901" t="str">
            <v>MOHD SHAHABUDDIN BIN MOHD SAPIEE</v>
          </cell>
          <cell r="B901" t="str">
            <v>5 15799087</v>
          </cell>
          <cell r="C901">
            <v>40183</v>
          </cell>
          <cell r="D901" t="str">
            <v>WP LIVE</v>
          </cell>
          <cell r="E901">
            <v>40871</v>
          </cell>
          <cell r="F901" t="str">
            <v>TIER 2</v>
          </cell>
          <cell r="G901" t="str">
            <v>UNSKILLED</v>
          </cell>
          <cell r="H901">
            <v>400</v>
          </cell>
          <cell r="I901">
            <v>40725</v>
          </cell>
        </row>
        <row r="902">
          <cell r="A902" t="str">
            <v>MOHD SHUKOR EFFENDY BIN MD ZIN</v>
          </cell>
          <cell r="B902" t="str">
            <v>4 03402524</v>
          </cell>
          <cell r="C902">
            <v>40295</v>
          </cell>
          <cell r="D902" t="str">
            <v>WP LIVE</v>
          </cell>
          <cell r="E902">
            <v>40971</v>
          </cell>
          <cell r="F902" t="str">
            <v>TIER 2</v>
          </cell>
          <cell r="G902" t="str">
            <v>UNSKILLED</v>
          </cell>
          <cell r="H902">
            <v>400</v>
          </cell>
          <cell r="I902">
            <v>40360</v>
          </cell>
        </row>
        <row r="903">
          <cell r="A903" t="str">
            <v>MOHD SUHAIMI BIN YUSOF</v>
          </cell>
          <cell r="B903" t="str">
            <v>5 1379827-</v>
          </cell>
          <cell r="C903">
            <v>40493</v>
          </cell>
          <cell r="D903" t="str">
            <v>WP LIVE</v>
          </cell>
          <cell r="E903">
            <v>41184</v>
          </cell>
          <cell r="F903" t="str">
            <v>TIER 2</v>
          </cell>
          <cell r="G903" t="str">
            <v>UNSKILLED</v>
          </cell>
          <cell r="H903">
            <v>400</v>
          </cell>
          <cell r="I903">
            <v>40725</v>
          </cell>
        </row>
        <row r="904">
          <cell r="A904" t="str">
            <v>MOHD TAUFIK BIN HUSSAIN</v>
          </cell>
          <cell r="B904" t="str">
            <v>4 03080594</v>
          </cell>
          <cell r="C904">
            <v>40442</v>
          </cell>
          <cell r="D904" t="str">
            <v>WP LIVE</v>
          </cell>
          <cell r="E904">
            <v>41179</v>
          </cell>
          <cell r="F904" t="str">
            <v>TIER 2</v>
          </cell>
          <cell r="G904" t="str">
            <v>UNSKILLED</v>
          </cell>
          <cell r="H904">
            <v>400</v>
          </cell>
          <cell r="I904">
            <v>40442</v>
          </cell>
        </row>
        <row r="905">
          <cell r="A905" t="str">
            <v>MOHD ZAMANI BIN ABD RAHMAN</v>
          </cell>
          <cell r="B905" t="str">
            <v>4 03378771</v>
          </cell>
          <cell r="C905">
            <v>40442</v>
          </cell>
          <cell r="D905" t="str">
            <v>WP LIVE</v>
          </cell>
          <cell r="E905">
            <v>40954</v>
          </cell>
          <cell r="F905" t="str">
            <v>TIER 2</v>
          </cell>
          <cell r="G905" t="str">
            <v>UNSKILLED</v>
          </cell>
          <cell r="H905">
            <v>400</v>
          </cell>
          <cell r="I905">
            <v>40725</v>
          </cell>
        </row>
        <row r="906">
          <cell r="A906" t="str">
            <v>MOHD ZULFADHLI BIN MOHD KHALID</v>
          </cell>
          <cell r="B906" t="str">
            <v>4 03551058</v>
          </cell>
          <cell r="C906">
            <v>40483</v>
          </cell>
          <cell r="D906" t="str">
            <v>WP LIVE</v>
          </cell>
          <cell r="E906">
            <v>41124</v>
          </cell>
          <cell r="F906" t="str">
            <v>TIER 2</v>
          </cell>
          <cell r="G906" t="str">
            <v>UNSKILLED</v>
          </cell>
          <cell r="H906">
            <v>400</v>
          </cell>
          <cell r="I906">
            <v>40725</v>
          </cell>
        </row>
        <row r="907">
          <cell r="A907" t="str">
            <v>MORIUS BIN MAJUNAK</v>
          </cell>
          <cell r="B907" t="str">
            <v>4 02448148</v>
          </cell>
          <cell r="C907">
            <v>40058</v>
          </cell>
          <cell r="D907" t="str">
            <v>WP LIVE</v>
          </cell>
          <cell r="E907">
            <v>40800</v>
          </cell>
          <cell r="F907" t="str">
            <v>TIER 2</v>
          </cell>
          <cell r="G907" t="str">
            <v>UNSKILLED</v>
          </cell>
          <cell r="H907">
            <v>400</v>
          </cell>
          <cell r="I907">
            <v>40725</v>
          </cell>
        </row>
        <row r="908">
          <cell r="A908" t="str">
            <v>MUHAMAD HARUDIN BIN CHAN SAI @ ABDUL RAHMAN</v>
          </cell>
          <cell r="B908" t="str">
            <v>5 3395071-</v>
          </cell>
          <cell r="C908">
            <v>40450</v>
          </cell>
          <cell r="D908" t="str">
            <v>WP LIVE</v>
          </cell>
          <cell r="E908">
            <v>41144</v>
          </cell>
          <cell r="F908" t="str">
            <v>TIER 2</v>
          </cell>
          <cell r="G908" t="str">
            <v>UNSKILLED</v>
          </cell>
          <cell r="H908">
            <v>400</v>
          </cell>
          <cell r="I908">
            <v>40725</v>
          </cell>
        </row>
        <row r="909">
          <cell r="A909" t="str">
            <v>MUHAMMAD RAMIDZAN BIN SAADON</v>
          </cell>
          <cell r="B909" t="str">
            <v>4 02542160</v>
          </cell>
          <cell r="C909">
            <v>39595</v>
          </cell>
          <cell r="D909" t="str">
            <v>WP LIVE</v>
          </cell>
          <cell r="E909">
            <v>41030</v>
          </cell>
          <cell r="F909" t="str">
            <v>TIER 2</v>
          </cell>
          <cell r="G909" t="str">
            <v>UNSKILLED</v>
          </cell>
          <cell r="H909">
            <v>400</v>
          </cell>
          <cell r="I909">
            <v>40725</v>
          </cell>
        </row>
        <row r="910">
          <cell r="A910" t="str">
            <v>MUHAMMAD SHAHRUDY BIN SAHLAN</v>
          </cell>
          <cell r="B910" t="str">
            <v>4 03109738</v>
          </cell>
          <cell r="C910">
            <v>39918</v>
          </cell>
          <cell r="D910" t="str">
            <v>WP LIVE</v>
          </cell>
          <cell r="E910">
            <v>41397</v>
          </cell>
          <cell r="F910" t="str">
            <v>TIER 2</v>
          </cell>
          <cell r="G910" t="str">
            <v>UNSKILLED</v>
          </cell>
          <cell r="H910">
            <v>400</v>
          </cell>
          <cell r="I910">
            <v>40725</v>
          </cell>
        </row>
        <row r="911">
          <cell r="A911" t="str">
            <v>MUNIANDY A/L PERUMAL</v>
          </cell>
          <cell r="B911" t="str">
            <v>3 58785468</v>
          </cell>
          <cell r="C911">
            <v>40498</v>
          </cell>
          <cell r="D911" t="str">
            <v>WP LIVE</v>
          </cell>
          <cell r="E911">
            <v>41241</v>
          </cell>
          <cell r="F911" t="str">
            <v>TIER 2</v>
          </cell>
          <cell r="G911" t="str">
            <v>UNSKILLED</v>
          </cell>
          <cell r="H911">
            <v>400</v>
          </cell>
          <cell r="I911">
            <v>40725</v>
          </cell>
        </row>
        <row r="912">
          <cell r="A912" t="str">
            <v>MUNUSAMY A/L GOVINDAN</v>
          </cell>
          <cell r="B912" t="str">
            <v>4 02848804</v>
          </cell>
          <cell r="C912">
            <v>40424</v>
          </cell>
          <cell r="D912" t="str">
            <v>WP LIVE</v>
          </cell>
          <cell r="E912">
            <v>41165</v>
          </cell>
          <cell r="F912" t="str">
            <v>TIER 2</v>
          </cell>
          <cell r="G912" t="str">
            <v>UNSKILLED</v>
          </cell>
          <cell r="H912">
            <v>400</v>
          </cell>
          <cell r="I912">
            <v>40424</v>
          </cell>
        </row>
        <row r="913">
          <cell r="A913" t="str">
            <v>MURIE ANAK NEN</v>
          </cell>
          <cell r="B913" t="str">
            <v>4 02430524</v>
          </cell>
          <cell r="C913">
            <v>40280</v>
          </cell>
          <cell r="D913" t="str">
            <v>WP LIVE</v>
          </cell>
          <cell r="E913">
            <v>40952</v>
          </cell>
          <cell r="F913" t="str">
            <v>TIER 2</v>
          </cell>
          <cell r="G913" t="str">
            <v>UNSKILLED</v>
          </cell>
          <cell r="H913">
            <v>400</v>
          </cell>
          <cell r="I913">
            <v>40360</v>
          </cell>
        </row>
        <row r="914">
          <cell r="A914" t="str">
            <v>MURUGAMAH A/P ARJUNAN</v>
          </cell>
          <cell r="B914" t="str">
            <v>5 20071539</v>
          </cell>
          <cell r="C914">
            <v>40394</v>
          </cell>
          <cell r="D914" t="str">
            <v>WP LIVE</v>
          </cell>
          <cell r="E914">
            <v>40914</v>
          </cell>
          <cell r="F914" t="str">
            <v>TIER 2</v>
          </cell>
          <cell r="G914" t="str">
            <v>UNSKILLED</v>
          </cell>
          <cell r="H914">
            <v>400</v>
          </cell>
          <cell r="I914">
            <v>40725</v>
          </cell>
        </row>
        <row r="915">
          <cell r="A915" t="str">
            <v>MURUGAMMAL A/P GOPAL</v>
          </cell>
          <cell r="B915" t="str">
            <v>5 0043130-</v>
          </cell>
          <cell r="C915">
            <v>39948</v>
          </cell>
          <cell r="D915" t="str">
            <v>WP LIVE</v>
          </cell>
          <cell r="E915">
            <v>41387</v>
          </cell>
          <cell r="F915" t="str">
            <v>TIER 2</v>
          </cell>
          <cell r="G915" t="str">
            <v>UNSKILLED</v>
          </cell>
          <cell r="H915">
            <v>400</v>
          </cell>
          <cell r="I915">
            <v>40725</v>
          </cell>
        </row>
        <row r="916">
          <cell r="A916" t="str">
            <v>MUTHUSAMY A/L KANAPATHY</v>
          </cell>
          <cell r="B916" t="str">
            <v>5 38891614</v>
          </cell>
          <cell r="C916">
            <v>39721</v>
          </cell>
          <cell r="D916" t="str">
            <v>WP LIVE</v>
          </cell>
          <cell r="E916">
            <v>41203</v>
          </cell>
          <cell r="F916" t="str">
            <v>TIER 2</v>
          </cell>
          <cell r="G916" t="str">
            <v>UNSKILLED</v>
          </cell>
          <cell r="H916">
            <v>400</v>
          </cell>
          <cell r="I916">
            <v>40725</v>
          </cell>
        </row>
        <row r="917">
          <cell r="A917" t="str">
            <v>N SEVAKUMAR A/L NIELLASAMY</v>
          </cell>
          <cell r="B917" t="str">
            <v>5 21208104</v>
          </cell>
          <cell r="C917">
            <v>39167</v>
          </cell>
          <cell r="D917" t="str">
            <v>WP LIVE</v>
          </cell>
          <cell r="E917">
            <v>40941</v>
          </cell>
          <cell r="F917" t="str">
            <v>TIER 2</v>
          </cell>
          <cell r="G917" t="str">
            <v>UNSKILLED</v>
          </cell>
          <cell r="H917">
            <v>400</v>
          </cell>
          <cell r="I917">
            <v>40725</v>
          </cell>
        </row>
        <row r="918">
          <cell r="A918" t="str">
            <v>NADARAJAN A/L MALIAPPAN</v>
          </cell>
          <cell r="B918" t="str">
            <v>4 01914129</v>
          </cell>
          <cell r="C918">
            <v>40304</v>
          </cell>
          <cell r="D918" t="str">
            <v>WP LIVE</v>
          </cell>
          <cell r="E918">
            <v>40963</v>
          </cell>
          <cell r="F918" t="str">
            <v>TIER 2</v>
          </cell>
          <cell r="G918" t="str">
            <v>UNSKILLED</v>
          </cell>
          <cell r="H918">
            <v>400</v>
          </cell>
          <cell r="I918">
            <v>40360</v>
          </cell>
        </row>
        <row r="919">
          <cell r="A919" t="str">
            <v>NAGAMAH A/P VEDIAPPAN</v>
          </cell>
          <cell r="B919" t="str">
            <v>5 36596836</v>
          </cell>
          <cell r="C919">
            <v>40305</v>
          </cell>
          <cell r="D919" t="str">
            <v>WP LIVE</v>
          </cell>
          <cell r="E919">
            <v>40981</v>
          </cell>
          <cell r="F919" t="str">
            <v>TIER 2</v>
          </cell>
          <cell r="G919" t="str">
            <v>UNSKILLED</v>
          </cell>
          <cell r="H919">
            <v>400</v>
          </cell>
          <cell r="I919">
            <v>40305</v>
          </cell>
        </row>
        <row r="920">
          <cell r="A920" t="str">
            <v>NAGAMMAH A/P KRISHNAN</v>
          </cell>
          <cell r="B920" t="str">
            <v>5 33989276</v>
          </cell>
          <cell r="C920">
            <v>39412</v>
          </cell>
          <cell r="D920" t="str">
            <v>WP LIVE</v>
          </cell>
          <cell r="E920">
            <v>40898</v>
          </cell>
          <cell r="F920" t="str">
            <v>TIER 2</v>
          </cell>
          <cell r="G920" t="str">
            <v>UNSKILLED</v>
          </cell>
          <cell r="H920">
            <v>400</v>
          </cell>
          <cell r="I920">
            <v>40725</v>
          </cell>
        </row>
        <row r="921">
          <cell r="A921" t="str">
            <v>NAGARANI A/P TANNIMALAY</v>
          </cell>
          <cell r="B921" t="str">
            <v>5 3724948-</v>
          </cell>
          <cell r="C921">
            <v>39815</v>
          </cell>
          <cell r="D921" t="str">
            <v>WP LIVE</v>
          </cell>
          <cell r="E921">
            <v>41229</v>
          </cell>
          <cell r="F921" t="str">
            <v>TIER 2</v>
          </cell>
          <cell r="G921" t="str">
            <v>UNSKILLED</v>
          </cell>
          <cell r="H921">
            <v>400</v>
          </cell>
          <cell r="I921">
            <v>40725</v>
          </cell>
        </row>
        <row r="922">
          <cell r="A922" t="str">
            <v>NAGAVALLI A/P SUBRAMANIAM</v>
          </cell>
          <cell r="B922" t="str">
            <v>4 03445762</v>
          </cell>
          <cell r="C922">
            <v>40331</v>
          </cell>
          <cell r="D922" t="str">
            <v>WP LIVE</v>
          </cell>
          <cell r="E922">
            <v>41025</v>
          </cell>
          <cell r="F922" t="str">
            <v>TIER 2</v>
          </cell>
          <cell r="G922" t="str">
            <v>UNSKILLED</v>
          </cell>
          <cell r="H922">
            <v>400</v>
          </cell>
          <cell r="I922">
            <v>40360</v>
          </cell>
        </row>
        <row r="923">
          <cell r="A923" t="str">
            <v>NAGESWARY A/P KRISHNAN</v>
          </cell>
          <cell r="B923" t="str">
            <v>4 03456284</v>
          </cell>
          <cell r="C923">
            <v>40340</v>
          </cell>
          <cell r="D923" t="str">
            <v>WP LIVE</v>
          </cell>
          <cell r="E923">
            <v>41037</v>
          </cell>
          <cell r="F923" t="str">
            <v>TIER 2</v>
          </cell>
          <cell r="G923" t="str">
            <v>UNSKILLED</v>
          </cell>
          <cell r="H923">
            <v>400</v>
          </cell>
          <cell r="I923">
            <v>40340</v>
          </cell>
        </row>
        <row r="924">
          <cell r="A924" t="str">
            <v>NALLAMAH A/P MUNIANDY</v>
          </cell>
          <cell r="B924" t="str">
            <v>5 33884350</v>
          </cell>
          <cell r="C924">
            <v>40302</v>
          </cell>
          <cell r="D924" t="str">
            <v>WP LIVE</v>
          </cell>
          <cell r="E924">
            <v>40990</v>
          </cell>
          <cell r="F924" t="str">
            <v>TIER 2</v>
          </cell>
          <cell r="G924" t="str">
            <v>UNSKILLED</v>
          </cell>
          <cell r="H924">
            <v>400</v>
          </cell>
          <cell r="I924">
            <v>40360</v>
          </cell>
        </row>
        <row r="925">
          <cell r="A925" t="str">
            <v>NAM CHEU YIN</v>
          </cell>
          <cell r="B925" t="str">
            <v>3 50383743</v>
          </cell>
          <cell r="C925">
            <v>40091</v>
          </cell>
          <cell r="D925" t="str">
            <v>WP LIVE</v>
          </cell>
          <cell r="E925">
            <v>40797</v>
          </cell>
          <cell r="F925" t="str">
            <v>TIER 2</v>
          </cell>
          <cell r="G925" t="str">
            <v>UNSKILLED</v>
          </cell>
          <cell r="H925">
            <v>400</v>
          </cell>
          <cell r="I925">
            <v>40725</v>
          </cell>
        </row>
        <row r="926">
          <cell r="A926" t="str">
            <v>NARAYANI A/P SUBRAMANIAM</v>
          </cell>
          <cell r="B926" t="str">
            <v>5 11285771</v>
          </cell>
          <cell r="C926">
            <v>39196</v>
          </cell>
          <cell r="D926" t="str">
            <v>WP LIVE</v>
          </cell>
          <cell r="E926">
            <v>41165</v>
          </cell>
          <cell r="F926" t="str">
            <v>TIER 2</v>
          </cell>
          <cell r="G926" t="str">
            <v>UNSKILLED</v>
          </cell>
          <cell r="H926">
            <v>400</v>
          </cell>
          <cell r="I926">
            <v>40725</v>
          </cell>
        </row>
        <row r="927">
          <cell r="A927" t="str">
            <v>NASIR BIN AYUB</v>
          </cell>
          <cell r="B927" t="str">
            <v>5 23812416</v>
          </cell>
          <cell r="C927">
            <v>40147</v>
          </cell>
          <cell r="D927" t="str">
            <v>WP LIVE</v>
          </cell>
          <cell r="E927">
            <v>40799</v>
          </cell>
          <cell r="F927" t="str">
            <v>TIER 2</v>
          </cell>
          <cell r="G927" t="str">
            <v>UNSKILLED</v>
          </cell>
          <cell r="H927">
            <v>400</v>
          </cell>
          <cell r="I927">
            <v>40725</v>
          </cell>
        </row>
        <row r="928">
          <cell r="A928" t="str">
            <v>NG MEE FONG</v>
          </cell>
          <cell r="B928" t="str">
            <v>3 73425923</v>
          </cell>
          <cell r="C928">
            <v>39794</v>
          </cell>
          <cell r="D928" t="str">
            <v>WP LIVE</v>
          </cell>
          <cell r="E928">
            <v>41221</v>
          </cell>
          <cell r="F928" t="str">
            <v>TIER 2</v>
          </cell>
          <cell r="G928" t="str">
            <v>UNSKILLED</v>
          </cell>
          <cell r="H928">
            <v>400</v>
          </cell>
          <cell r="I928">
            <v>40725</v>
          </cell>
        </row>
        <row r="929">
          <cell r="A929" t="str">
            <v>NG SIEW ENG</v>
          </cell>
          <cell r="B929" t="str">
            <v>3 62649226</v>
          </cell>
          <cell r="C929">
            <v>39825</v>
          </cell>
          <cell r="D929" t="str">
            <v>WP LIVE</v>
          </cell>
          <cell r="E929">
            <v>41227</v>
          </cell>
          <cell r="F929" t="str">
            <v>TIER 2</v>
          </cell>
          <cell r="G929" t="str">
            <v>UNSKILLED</v>
          </cell>
          <cell r="H929">
            <v>400</v>
          </cell>
          <cell r="I929">
            <v>40725</v>
          </cell>
        </row>
        <row r="930">
          <cell r="A930" t="str">
            <v>NINA BINTI SUMERY</v>
          </cell>
          <cell r="B930" t="str">
            <v>3 6370655-</v>
          </cell>
          <cell r="C930">
            <v>40456</v>
          </cell>
          <cell r="D930" t="str">
            <v>WP LIVE</v>
          </cell>
          <cell r="E930">
            <v>41206</v>
          </cell>
          <cell r="F930" t="str">
            <v>TIER 2</v>
          </cell>
          <cell r="G930" t="str">
            <v>UNSKILLED</v>
          </cell>
          <cell r="H930">
            <v>400</v>
          </cell>
          <cell r="I930">
            <v>40456</v>
          </cell>
        </row>
        <row r="931">
          <cell r="A931" t="str">
            <v>NIRMALA A/P KANNI</v>
          </cell>
          <cell r="B931" t="str">
            <v>5 22407496</v>
          </cell>
          <cell r="C931">
            <v>40170</v>
          </cell>
          <cell r="D931" t="str">
            <v>WP LIVE</v>
          </cell>
          <cell r="E931">
            <v>40913</v>
          </cell>
          <cell r="F931" t="str">
            <v>TIER 2</v>
          </cell>
          <cell r="G931" t="str">
            <v>UNSKILLED</v>
          </cell>
          <cell r="H931">
            <v>400</v>
          </cell>
          <cell r="I931">
            <v>40725</v>
          </cell>
        </row>
        <row r="932">
          <cell r="A932" t="str">
            <v>NIROSHA A/P KALIAPERUMAL</v>
          </cell>
          <cell r="B932" t="str">
            <v>4 03203556</v>
          </cell>
          <cell r="C932">
            <v>40149</v>
          </cell>
          <cell r="D932" t="str">
            <v>WP LIVE</v>
          </cell>
          <cell r="E932">
            <v>40892</v>
          </cell>
          <cell r="F932" t="str">
            <v>TIER 2</v>
          </cell>
          <cell r="G932" t="str">
            <v>UNSKILLED</v>
          </cell>
          <cell r="H932">
            <v>400</v>
          </cell>
          <cell r="I932">
            <v>40149</v>
          </cell>
        </row>
        <row r="933">
          <cell r="A933" t="str">
            <v>NONIAMA A/P NADARAJAH</v>
          </cell>
          <cell r="B933" t="str">
            <v>5 24604574</v>
          </cell>
          <cell r="C933">
            <v>40726</v>
          </cell>
          <cell r="D933" t="str">
            <v>WP APPROVED</v>
          </cell>
          <cell r="F933" t="str">
            <v>TIER 2</v>
          </cell>
          <cell r="G933" t="str">
            <v>UNSKILLED</v>
          </cell>
          <cell r="H933">
            <v>400</v>
          </cell>
          <cell r="I933">
            <v>40726</v>
          </cell>
        </row>
        <row r="934">
          <cell r="A934" t="str">
            <v>NOOR AZIZAH BINTI SULAIMAN @ SELVAM</v>
          </cell>
          <cell r="B934" t="str">
            <v>4 03035262</v>
          </cell>
          <cell r="C934">
            <v>39758</v>
          </cell>
          <cell r="D934" t="str">
            <v>WP LIVE</v>
          </cell>
          <cell r="E934">
            <v>41243</v>
          </cell>
          <cell r="F934" t="str">
            <v>TIER 2</v>
          </cell>
          <cell r="G934" t="str">
            <v>UNSKILLED</v>
          </cell>
          <cell r="H934">
            <v>400</v>
          </cell>
          <cell r="I934">
            <v>40725</v>
          </cell>
        </row>
        <row r="935">
          <cell r="A935" t="str">
            <v>NOOR ZAIN BIN MOKHTAR</v>
          </cell>
          <cell r="B935" t="str">
            <v>3 60786781</v>
          </cell>
          <cell r="C935">
            <v>40190</v>
          </cell>
          <cell r="D935" t="str">
            <v>WP LIVE</v>
          </cell>
          <cell r="E935">
            <v>40926</v>
          </cell>
          <cell r="F935" t="str">
            <v>TIER 2</v>
          </cell>
          <cell r="G935" t="str">
            <v>UNSKILLED</v>
          </cell>
          <cell r="H935">
            <v>400</v>
          </cell>
          <cell r="I935">
            <v>40725</v>
          </cell>
        </row>
        <row r="936">
          <cell r="A936" t="str">
            <v>NOR HAYATIE BINTI ABDUL HAMID</v>
          </cell>
          <cell r="B936" t="str">
            <v>4 0313516-</v>
          </cell>
          <cell r="C936">
            <v>40009</v>
          </cell>
          <cell r="D936" t="str">
            <v>WP LIVE</v>
          </cell>
          <cell r="E936">
            <v>40752</v>
          </cell>
          <cell r="F936" t="str">
            <v>TIER 2</v>
          </cell>
          <cell r="G936" t="str">
            <v>UNSKILLED</v>
          </cell>
          <cell r="H936">
            <v>400</v>
          </cell>
          <cell r="I936">
            <v>40009</v>
          </cell>
        </row>
        <row r="937">
          <cell r="A937" t="str">
            <v>NORAZILAH BINTI ABDUL RAHMAN</v>
          </cell>
          <cell r="B937" t="str">
            <v>5 26209532</v>
          </cell>
          <cell r="C937">
            <v>40161</v>
          </cell>
          <cell r="D937" t="str">
            <v>WP LIVE</v>
          </cell>
          <cell r="E937">
            <v>40839</v>
          </cell>
          <cell r="F937" t="str">
            <v>TIER 2</v>
          </cell>
          <cell r="G937" t="str">
            <v>UNSKILLED</v>
          </cell>
          <cell r="H937">
            <v>400</v>
          </cell>
          <cell r="I937">
            <v>40725</v>
          </cell>
        </row>
        <row r="938">
          <cell r="A938" t="str">
            <v>NORIANI BINTI MOHIM</v>
          </cell>
          <cell r="B938" t="str">
            <v>8 95009814</v>
          </cell>
          <cell r="C938">
            <v>39534</v>
          </cell>
          <cell r="D938" t="str">
            <v>WP LIVE</v>
          </cell>
          <cell r="E938">
            <v>41000</v>
          </cell>
          <cell r="F938" t="str">
            <v>TIER 2</v>
          </cell>
          <cell r="G938" t="str">
            <v>UNSKILLED</v>
          </cell>
          <cell r="H938">
            <v>400</v>
          </cell>
          <cell r="I938">
            <v>40725</v>
          </cell>
        </row>
        <row r="939">
          <cell r="A939" t="str">
            <v>NORLELA BINTI MUSA</v>
          </cell>
          <cell r="B939" t="str">
            <v>5 25609286</v>
          </cell>
          <cell r="C939">
            <v>40246</v>
          </cell>
          <cell r="D939" t="str">
            <v>WP LIVE</v>
          </cell>
          <cell r="E939">
            <v>40997</v>
          </cell>
          <cell r="F939" t="str">
            <v>TIER 2</v>
          </cell>
          <cell r="G939" t="str">
            <v>UNSKILLED</v>
          </cell>
          <cell r="H939">
            <v>400</v>
          </cell>
          <cell r="I939">
            <v>40725</v>
          </cell>
        </row>
        <row r="940">
          <cell r="A940" t="str">
            <v>NUR AINNA SYUHADA BINTI ABDULLAH</v>
          </cell>
          <cell r="B940" t="str">
            <v>6 08218289</v>
          </cell>
          <cell r="C940">
            <v>39994</v>
          </cell>
          <cell r="D940" t="str">
            <v>WP LIVE</v>
          </cell>
          <cell r="E940">
            <v>40759</v>
          </cell>
          <cell r="F940" t="str">
            <v>TIER 2</v>
          </cell>
          <cell r="G940" t="str">
            <v>UNSKILLED</v>
          </cell>
          <cell r="H940">
            <v>400</v>
          </cell>
          <cell r="I940">
            <v>39994</v>
          </cell>
        </row>
        <row r="941">
          <cell r="A941" t="str">
            <v>NUR SHIELA BINTI ABDULLAH</v>
          </cell>
          <cell r="B941" t="str">
            <v>5 1552987-</v>
          </cell>
          <cell r="C941">
            <v>38945</v>
          </cell>
          <cell r="D941" t="str">
            <v>WP LIVE</v>
          </cell>
          <cell r="E941">
            <v>41163</v>
          </cell>
          <cell r="F941" t="str">
            <v>TIER 2</v>
          </cell>
          <cell r="G941" t="str">
            <v>UNSKILLED</v>
          </cell>
          <cell r="H941">
            <v>400</v>
          </cell>
          <cell r="I941">
            <v>40452</v>
          </cell>
        </row>
        <row r="942">
          <cell r="A942" t="str">
            <v>ONG LIAN KEE</v>
          </cell>
          <cell r="B942" t="str">
            <v>3 53613499</v>
          </cell>
          <cell r="C942">
            <v>38784</v>
          </cell>
          <cell r="D942" t="str">
            <v>WP LIVE</v>
          </cell>
          <cell r="E942">
            <v>40989</v>
          </cell>
          <cell r="F942" t="str">
            <v>TIER 2</v>
          </cell>
          <cell r="G942" t="str">
            <v>UNSKILLED</v>
          </cell>
          <cell r="H942">
            <v>400</v>
          </cell>
          <cell r="I942">
            <v>40725</v>
          </cell>
        </row>
        <row r="943">
          <cell r="A943" t="str">
            <v>P SARASWATHY A/P P POOVAN</v>
          </cell>
          <cell r="B943" t="str">
            <v>3 74365657</v>
          </cell>
          <cell r="C943">
            <v>40282</v>
          </cell>
          <cell r="D943" t="str">
            <v>WP LIVE</v>
          </cell>
          <cell r="E943">
            <v>41041</v>
          </cell>
          <cell r="F943" t="str">
            <v>TIER 2</v>
          </cell>
          <cell r="G943" t="str">
            <v>UNSKILLED</v>
          </cell>
          <cell r="H943">
            <v>400</v>
          </cell>
          <cell r="I943">
            <v>40360</v>
          </cell>
        </row>
        <row r="944">
          <cell r="A944" t="str">
            <v>PACHIMAL A/P PERUMAL</v>
          </cell>
          <cell r="B944" t="str">
            <v>3 73749680</v>
          </cell>
          <cell r="C944">
            <v>39449</v>
          </cell>
          <cell r="D944" t="str">
            <v>WP LIVE</v>
          </cell>
          <cell r="E944">
            <v>41389</v>
          </cell>
          <cell r="F944" t="str">
            <v>TIER 2</v>
          </cell>
          <cell r="G944" t="str">
            <v>UNSKILLED</v>
          </cell>
          <cell r="H944">
            <v>400</v>
          </cell>
          <cell r="I944">
            <v>40725</v>
          </cell>
        </row>
        <row r="945">
          <cell r="A945" t="str">
            <v>PADZIL MAN BIN PADAMAN</v>
          </cell>
          <cell r="B945" t="str">
            <v>4 02396326</v>
          </cell>
          <cell r="C945">
            <v>40157</v>
          </cell>
          <cell r="D945" t="str">
            <v>WP LIVE</v>
          </cell>
          <cell r="E945">
            <v>40906</v>
          </cell>
          <cell r="F945" t="str">
            <v>TIER 2</v>
          </cell>
          <cell r="G945" t="str">
            <v>UNSKILLED</v>
          </cell>
          <cell r="H945">
            <v>400</v>
          </cell>
          <cell r="I945">
            <v>40157</v>
          </cell>
        </row>
        <row r="946">
          <cell r="A946" t="str">
            <v>PAGIAWATHY A/P RAMAN</v>
          </cell>
          <cell r="B946" t="str">
            <v>5 14196729</v>
          </cell>
          <cell r="C946">
            <v>40024</v>
          </cell>
          <cell r="D946" t="str">
            <v>WP LIVE</v>
          </cell>
          <cell r="E946">
            <v>41306</v>
          </cell>
          <cell r="F946" t="str">
            <v>TIER 2</v>
          </cell>
          <cell r="G946" t="str">
            <v>UNSKILLED</v>
          </cell>
          <cell r="H946">
            <v>400</v>
          </cell>
          <cell r="I946">
            <v>40725</v>
          </cell>
        </row>
        <row r="947">
          <cell r="A947" t="str">
            <v>PAMA A/P MANICKAM</v>
          </cell>
          <cell r="B947" t="str">
            <v>5 18931970</v>
          </cell>
          <cell r="C947">
            <v>38737</v>
          </cell>
          <cell r="D947" t="str">
            <v>WP LIVE</v>
          </cell>
          <cell r="E947">
            <v>40862</v>
          </cell>
          <cell r="F947" t="str">
            <v>TIER 2</v>
          </cell>
          <cell r="G947" t="str">
            <v>UNSKILLED</v>
          </cell>
          <cell r="H947">
            <v>400</v>
          </cell>
          <cell r="I947">
            <v>40725</v>
          </cell>
        </row>
        <row r="948">
          <cell r="A948" t="str">
            <v>PANG DAODE</v>
          </cell>
          <cell r="B948" t="str">
            <v>0 72085205</v>
          </cell>
          <cell r="C948">
            <v>39806</v>
          </cell>
          <cell r="D948" t="str">
            <v>WP LIVE</v>
          </cell>
          <cell r="E948">
            <v>41265</v>
          </cell>
          <cell r="F948" t="str">
            <v>TIER 2</v>
          </cell>
          <cell r="G948" t="str">
            <v>UNSKILLED</v>
          </cell>
          <cell r="H948">
            <v>400</v>
          </cell>
          <cell r="I948">
            <v>39806</v>
          </cell>
        </row>
        <row r="949">
          <cell r="A949" t="str">
            <v>PANI MALAR A/P NAGARASA</v>
          </cell>
          <cell r="B949" t="str">
            <v>5 18144413</v>
          </cell>
          <cell r="C949">
            <v>39902</v>
          </cell>
          <cell r="D949" t="str">
            <v>WP LIVE</v>
          </cell>
          <cell r="E949">
            <v>41370</v>
          </cell>
          <cell r="F949" t="str">
            <v>TIER 2</v>
          </cell>
          <cell r="G949" t="str">
            <v>UNSKILLED</v>
          </cell>
          <cell r="H949">
            <v>400</v>
          </cell>
          <cell r="I949">
            <v>40725</v>
          </cell>
        </row>
        <row r="950">
          <cell r="A950" t="str">
            <v>PANIRSILVAM A/L KUPPAN</v>
          </cell>
          <cell r="B950" t="str">
            <v>5 35640025</v>
          </cell>
          <cell r="C950">
            <v>39756</v>
          </cell>
          <cell r="D950" t="str">
            <v>WP LIVE</v>
          </cell>
          <cell r="E950">
            <v>41230</v>
          </cell>
          <cell r="F950" t="str">
            <v>TIER 2</v>
          </cell>
          <cell r="G950" t="str">
            <v>UNSKILLED</v>
          </cell>
          <cell r="H950">
            <v>400</v>
          </cell>
          <cell r="I950">
            <v>40725</v>
          </cell>
        </row>
        <row r="951">
          <cell r="A951" t="str">
            <v>PAPA A/P KRISHNAN</v>
          </cell>
          <cell r="B951" t="str">
            <v>4 02207868</v>
          </cell>
          <cell r="C951">
            <v>39652</v>
          </cell>
          <cell r="D951" t="str">
            <v>WP LIVE</v>
          </cell>
          <cell r="E951">
            <v>41134</v>
          </cell>
          <cell r="F951" t="str">
            <v>TIER 2</v>
          </cell>
          <cell r="G951" t="str">
            <v>UNSKILLED</v>
          </cell>
          <cell r="H951">
            <v>400</v>
          </cell>
          <cell r="I951">
            <v>40725</v>
          </cell>
        </row>
        <row r="952">
          <cell r="A952" t="str">
            <v>PAPPATHI A/P PETCHAY</v>
          </cell>
          <cell r="B952" t="str">
            <v>3 68198692</v>
          </cell>
          <cell r="C952">
            <v>40312</v>
          </cell>
          <cell r="D952" t="str">
            <v>WP LIVE</v>
          </cell>
          <cell r="E952">
            <v>41063</v>
          </cell>
          <cell r="F952" t="str">
            <v>TIER 2</v>
          </cell>
          <cell r="G952" t="str">
            <v>UNSKILLED</v>
          </cell>
          <cell r="H952">
            <v>400</v>
          </cell>
          <cell r="I952">
            <v>40312</v>
          </cell>
        </row>
        <row r="953">
          <cell r="A953" t="str">
            <v>PARAMASIVAM A/L MARIAMUTHU</v>
          </cell>
          <cell r="B953" t="str">
            <v>4 0277651-</v>
          </cell>
          <cell r="C953">
            <v>40450</v>
          </cell>
          <cell r="D953" t="str">
            <v>WP LIVE</v>
          </cell>
          <cell r="E953">
            <v>41160</v>
          </cell>
          <cell r="F953" t="str">
            <v>TIER 2</v>
          </cell>
          <cell r="G953" t="str">
            <v>UNSKILLED</v>
          </cell>
          <cell r="H953">
            <v>400</v>
          </cell>
          <cell r="I953">
            <v>40725</v>
          </cell>
        </row>
        <row r="954">
          <cell r="A954" t="str">
            <v>PARAMESWARY A/P MUNIANDY</v>
          </cell>
          <cell r="B954" t="str">
            <v>4 03751561</v>
          </cell>
          <cell r="C954">
            <v>40726</v>
          </cell>
          <cell r="D954" t="str">
            <v>WP APPROVED</v>
          </cell>
          <cell r="F954" t="str">
            <v>TIER 2</v>
          </cell>
          <cell r="G954" t="str">
            <v>UNSKILLED</v>
          </cell>
          <cell r="H954">
            <v>400</v>
          </cell>
          <cell r="I954">
            <v>40726</v>
          </cell>
        </row>
        <row r="955">
          <cell r="A955" t="str">
            <v>PARAMESWARY A/P SUBRAMANIAN</v>
          </cell>
          <cell r="B955" t="str">
            <v>5 11077303</v>
          </cell>
          <cell r="C955">
            <v>40242</v>
          </cell>
          <cell r="D955" t="str">
            <v>WP LIVE</v>
          </cell>
          <cell r="E955">
            <v>40983</v>
          </cell>
          <cell r="F955" t="str">
            <v>TIER 2</v>
          </cell>
          <cell r="G955" t="str">
            <v>UNSKILLED</v>
          </cell>
          <cell r="H955">
            <v>400</v>
          </cell>
          <cell r="I955">
            <v>40725</v>
          </cell>
        </row>
        <row r="956">
          <cell r="A956" t="str">
            <v>PARAMIS PARI A/P SINNAMUTHU</v>
          </cell>
          <cell r="B956" t="str">
            <v>5 1755913-</v>
          </cell>
          <cell r="C956">
            <v>39552</v>
          </cell>
          <cell r="D956" t="str">
            <v>WP LIVE</v>
          </cell>
          <cell r="E956">
            <v>40914</v>
          </cell>
          <cell r="F956" t="str">
            <v>TIER 2</v>
          </cell>
          <cell r="G956" t="str">
            <v>UNSKILLED</v>
          </cell>
          <cell r="H956">
            <v>400</v>
          </cell>
          <cell r="I956">
            <v>39552</v>
          </cell>
        </row>
        <row r="957">
          <cell r="A957" t="str">
            <v>PARAVATHY A/P SANASI</v>
          </cell>
          <cell r="B957" t="str">
            <v>4 02477407</v>
          </cell>
          <cell r="C957">
            <v>40415</v>
          </cell>
          <cell r="D957" t="str">
            <v>WP LIVE</v>
          </cell>
          <cell r="E957">
            <v>40948</v>
          </cell>
          <cell r="F957" t="str">
            <v>TIER 2</v>
          </cell>
          <cell r="G957" t="str">
            <v>UNSKILLED</v>
          </cell>
          <cell r="H957">
            <v>400</v>
          </cell>
          <cell r="I957">
            <v>40415</v>
          </cell>
        </row>
        <row r="958">
          <cell r="A958" t="str">
            <v>PARTIVEN A/L SUKUMAR</v>
          </cell>
          <cell r="B958" t="str">
            <v>4 01889167</v>
          </cell>
          <cell r="C958">
            <v>39511</v>
          </cell>
          <cell r="D958" t="str">
            <v>WP LIVE</v>
          </cell>
          <cell r="E958">
            <v>40980</v>
          </cell>
          <cell r="F958" t="str">
            <v>TIER 2</v>
          </cell>
          <cell r="G958" t="str">
            <v>UNSKILLED</v>
          </cell>
          <cell r="H958">
            <v>400</v>
          </cell>
          <cell r="I958">
            <v>40725</v>
          </cell>
        </row>
        <row r="959">
          <cell r="A959" t="str">
            <v>PARUVATHY AMMAL A/P ACHUTHAN</v>
          </cell>
          <cell r="B959" t="str">
            <v>5 20123482</v>
          </cell>
          <cell r="C959">
            <v>40281</v>
          </cell>
          <cell r="D959" t="str">
            <v>WP LIVE</v>
          </cell>
          <cell r="E959">
            <v>41041</v>
          </cell>
          <cell r="F959" t="str">
            <v>TIER 2</v>
          </cell>
          <cell r="G959" t="str">
            <v>UNSKILLED</v>
          </cell>
          <cell r="H959">
            <v>400</v>
          </cell>
          <cell r="I959">
            <v>40360</v>
          </cell>
        </row>
        <row r="960">
          <cell r="A960" t="str">
            <v>PARVATHI A/P SAMMUGUM</v>
          </cell>
          <cell r="B960" t="str">
            <v>5 37581794</v>
          </cell>
          <cell r="C960">
            <v>40248</v>
          </cell>
          <cell r="D960" t="str">
            <v>WP LIVE</v>
          </cell>
          <cell r="E960">
            <v>40892</v>
          </cell>
          <cell r="F960" t="str">
            <v>TIER 2</v>
          </cell>
          <cell r="G960" t="str">
            <v>UNSKILLED</v>
          </cell>
          <cell r="H960">
            <v>400</v>
          </cell>
          <cell r="I960">
            <v>40248</v>
          </cell>
        </row>
        <row r="961">
          <cell r="A961" t="str">
            <v>PASUVATHI SUPPIAH</v>
          </cell>
          <cell r="B961" t="str">
            <v>5 0629536-</v>
          </cell>
          <cell r="C961">
            <v>40498</v>
          </cell>
          <cell r="D961" t="str">
            <v>WP LIVE</v>
          </cell>
          <cell r="E961">
            <v>40976</v>
          </cell>
          <cell r="F961" t="str">
            <v>TIER 2</v>
          </cell>
          <cell r="G961" t="str">
            <v>UNSKILLED</v>
          </cell>
          <cell r="H961">
            <v>400</v>
          </cell>
          <cell r="I961">
            <v>40498</v>
          </cell>
        </row>
        <row r="962">
          <cell r="A962" t="str">
            <v>PATMAH A/P SINNATAMBY</v>
          </cell>
          <cell r="B962" t="str">
            <v>5 16627158</v>
          </cell>
          <cell r="C962">
            <v>40417</v>
          </cell>
          <cell r="D962" t="str">
            <v>WP LIVE</v>
          </cell>
          <cell r="E962">
            <v>41101</v>
          </cell>
          <cell r="F962" t="str">
            <v>TIER 2</v>
          </cell>
          <cell r="G962" t="str">
            <v>UNSKILLED</v>
          </cell>
          <cell r="H962">
            <v>400</v>
          </cell>
          <cell r="I962">
            <v>40725</v>
          </cell>
        </row>
        <row r="963">
          <cell r="A963" t="str">
            <v>PELA ANAK ASAH</v>
          </cell>
          <cell r="B963" t="str">
            <v>8 93448063</v>
          </cell>
          <cell r="C963">
            <v>39909</v>
          </cell>
          <cell r="D963" t="str">
            <v>WP LIVE</v>
          </cell>
          <cell r="E963">
            <v>41397</v>
          </cell>
          <cell r="F963" t="str">
            <v>TIER 2</v>
          </cell>
          <cell r="G963" t="str">
            <v>UNSKILLED</v>
          </cell>
          <cell r="H963">
            <v>400</v>
          </cell>
          <cell r="I963">
            <v>39909</v>
          </cell>
        </row>
        <row r="964">
          <cell r="A964" t="str">
            <v>PENG KIM FONG</v>
          </cell>
          <cell r="B964" t="str">
            <v>3 8139803-</v>
          </cell>
          <cell r="C964">
            <v>38637</v>
          </cell>
          <cell r="D964" t="str">
            <v>WP LIVE</v>
          </cell>
          <cell r="E964">
            <v>41162</v>
          </cell>
          <cell r="F964" t="str">
            <v>TIER 2</v>
          </cell>
          <cell r="G964" t="str">
            <v>UNSKILLED</v>
          </cell>
          <cell r="H964">
            <v>400</v>
          </cell>
          <cell r="I964">
            <v>40452</v>
          </cell>
        </row>
        <row r="965">
          <cell r="A965" t="str">
            <v>PERARASEE A/P SINGARAVELU</v>
          </cell>
          <cell r="B965" t="str">
            <v>4 02355581</v>
          </cell>
          <cell r="C965">
            <v>39954</v>
          </cell>
          <cell r="D965" t="str">
            <v>WP LIVE</v>
          </cell>
          <cell r="E965">
            <v>41339</v>
          </cell>
          <cell r="F965" t="str">
            <v>TIER 2</v>
          </cell>
          <cell r="G965" t="str">
            <v>UNSKILLED</v>
          </cell>
          <cell r="H965">
            <v>400</v>
          </cell>
          <cell r="I965">
            <v>40725</v>
          </cell>
        </row>
        <row r="966">
          <cell r="A966" t="str">
            <v>PERUMAL A/L KARUPPAIH</v>
          </cell>
          <cell r="B966" t="str">
            <v>4 02400900</v>
          </cell>
          <cell r="C966">
            <v>40501</v>
          </cell>
          <cell r="D966" t="str">
            <v>WP LIVE</v>
          </cell>
          <cell r="E966">
            <v>41241</v>
          </cell>
          <cell r="F966" t="str">
            <v>TIER 2</v>
          </cell>
          <cell r="G966" t="str">
            <v>UNSKILLED</v>
          </cell>
          <cell r="H966">
            <v>400</v>
          </cell>
          <cell r="I966">
            <v>40725</v>
          </cell>
        </row>
        <row r="967">
          <cell r="A967" t="str">
            <v>PO AH HENG</v>
          </cell>
          <cell r="B967" t="str">
            <v>3 70959080</v>
          </cell>
          <cell r="C967">
            <v>39644</v>
          </cell>
          <cell r="D967" t="str">
            <v>WP LIVE</v>
          </cell>
          <cell r="E967">
            <v>41002</v>
          </cell>
          <cell r="F967" t="str">
            <v>TIER 2</v>
          </cell>
          <cell r="G967" t="str">
            <v>UNSKILLED</v>
          </cell>
          <cell r="H967">
            <v>400</v>
          </cell>
          <cell r="I967">
            <v>40725</v>
          </cell>
        </row>
        <row r="968">
          <cell r="A968" t="str">
            <v>PRAHBU A/L DHARMAPUTHRAN</v>
          </cell>
          <cell r="B968" t="str">
            <v>4 01701990</v>
          </cell>
          <cell r="C968">
            <v>40275</v>
          </cell>
          <cell r="D968" t="str">
            <v>WP LIVE</v>
          </cell>
          <cell r="E968">
            <v>41032</v>
          </cell>
          <cell r="F968" t="str">
            <v>TIER 2</v>
          </cell>
          <cell r="G968" t="str">
            <v>UNSKILLED</v>
          </cell>
          <cell r="H968">
            <v>400</v>
          </cell>
          <cell r="I968">
            <v>40360</v>
          </cell>
        </row>
        <row r="969">
          <cell r="A969" t="str">
            <v>PRAKASH A/L VELLASAMY</v>
          </cell>
          <cell r="B969" t="str">
            <v>4 03513970</v>
          </cell>
          <cell r="C969">
            <v>40448</v>
          </cell>
          <cell r="D969" t="str">
            <v>WP LIVE</v>
          </cell>
          <cell r="E969">
            <v>40861</v>
          </cell>
          <cell r="F969" t="str">
            <v>TIER 2</v>
          </cell>
          <cell r="G969" t="str">
            <v>UNSKILLED</v>
          </cell>
          <cell r="H969">
            <v>400</v>
          </cell>
          <cell r="I969">
            <v>40725</v>
          </cell>
        </row>
        <row r="970">
          <cell r="A970" t="str">
            <v>PRASHANTHE KUMAR A/L RAMAN</v>
          </cell>
          <cell r="B970" t="str">
            <v>5 1642236-</v>
          </cell>
          <cell r="C970">
            <v>40197</v>
          </cell>
          <cell r="D970" t="str">
            <v>WP LIVE</v>
          </cell>
          <cell r="E970">
            <v>40943</v>
          </cell>
          <cell r="F970" t="str">
            <v>TIER 2</v>
          </cell>
          <cell r="G970" t="str">
            <v>UNSKILLED</v>
          </cell>
          <cell r="H970">
            <v>400</v>
          </cell>
          <cell r="I970">
            <v>40725</v>
          </cell>
        </row>
        <row r="971">
          <cell r="A971" t="str">
            <v>PREMA A/P RAMASAMY</v>
          </cell>
          <cell r="B971" t="str">
            <v>4 02956844</v>
          </cell>
          <cell r="C971">
            <v>39646</v>
          </cell>
          <cell r="D971" t="str">
            <v>WP LIVE</v>
          </cell>
          <cell r="E971">
            <v>41142</v>
          </cell>
          <cell r="F971" t="str">
            <v>TIER 2</v>
          </cell>
          <cell r="G971" t="str">
            <v>UNSKILLED</v>
          </cell>
          <cell r="H971">
            <v>400</v>
          </cell>
          <cell r="I971">
            <v>40725</v>
          </cell>
        </row>
        <row r="972">
          <cell r="A972" t="str">
            <v>PREMALATHA A/P PERUMAL</v>
          </cell>
          <cell r="B972" t="str">
            <v>5 23979604</v>
          </cell>
          <cell r="C972">
            <v>39727</v>
          </cell>
          <cell r="D972" t="str">
            <v>WP LIVE</v>
          </cell>
          <cell r="E972">
            <v>41009</v>
          </cell>
          <cell r="F972" t="str">
            <v>TIER 2</v>
          </cell>
          <cell r="G972" t="str">
            <v>UNSKILLED</v>
          </cell>
          <cell r="H972">
            <v>400</v>
          </cell>
          <cell r="I972">
            <v>40725</v>
          </cell>
        </row>
        <row r="973">
          <cell r="A973" t="str">
            <v>PREMAVATHY A/P THREENATHY</v>
          </cell>
          <cell r="B973" t="str">
            <v>5 19078872</v>
          </cell>
          <cell r="C973">
            <v>40232</v>
          </cell>
          <cell r="D973" t="str">
            <v>WP LIVE</v>
          </cell>
          <cell r="E973">
            <v>40978</v>
          </cell>
          <cell r="F973" t="str">
            <v>TIER 2</v>
          </cell>
          <cell r="G973" t="str">
            <v>UNSKILLED</v>
          </cell>
          <cell r="H973">
            <v>400</v>
          </cell>
          <cell r="I973">
            <v>40725</v>
          </cell>
        </row>
        <row r="974">
          <cell r="A974" t="str">
            <v>PREMKUMAR A/L SUKUMAHRAN</v>
          </cell>
          <cell r="B974" t="str">
            <v>4 03062871</v>
          </cell>
          <cell r="C974">
            <v>39822</v>
          </cell>
          <cell r="D974" t="str">
            <v>WP LIVE</v>
          </cell>
          <cell r="E974">
            <v>41245</v>
          </cell>
          <cell r="F974" t="str">
            <v>TIER 2</v>
          </cell>
          <cell r="G974" t="str">
            <v>UNSKILLED</v>
          </cell>
          <cell r="H974">
            <v>400</v>
          </cell>
          <cell r="I974">
            <v>40725</v>
          </cell>
        </row>
        <row r="975">
          <cell r="A975" t="str">
            <v>PUNGIMAH A/P SUPRAMANIAM</v>
          </cell>
          <cell r="B975" t="str">
            <v>5 29565267</v>
          </cell>
          <cell r="C975">
            <v>40156</v>
          </cell>
          <cell r="D975" t="str">
            <v>WP LIVE</v>
          </cell>
          <cell r="E975">
            <v>40850</v>
          </cell>
          <cell r="F975" t="str">
            <v>TIER 2</v>
          </cell>
          <cell r="G975" t="str">
            <v>UNSKILLED</v>
          </cell>
          <cell r="H975">
            <v>400</v>
          </cell>
          <cell r="I975">
            <v>40725</v>
          </cell>
        </row>
        <row r="976">
          <cell r="A976" t="str">
            <v>PUNIDA A/P MUNUSAMY</v>
          </cell>
          <cell r="B976" t="str">
            <v>4 03473219</v>
          </cell>
          <cell r="C976">
            <v>40407</v>
          </cell>
          <cell r="D976" t="str">
            <v>WP LIVE</v>
          </cell>
          <cell r="E976">
            <v>41036</v>
          </cell>
          <cell r="F976" t="str">
            <v>TIER 2</v>
          </cell>
          <cell r="G976" t="str">
            <v>UNSKILLED</v>
          </cell>
          <cell r="H976">
            <v>400</v>
          </cell>
          <cell r="I976">
            <v>40407</v>
          </cell>
        </row>
        <row r="977">
          <cell r="A977" t="str">
            <v>PUNITHA A/P MUNIANDEE</v>
          </cell>
          <cell r="B977" t="str">
            <v>4 0023549-</v>
          </cell>
          <cell r="C977">
            <v>40424</v>
          </cell>
          <cell r="D977" t="str">
            <v>WP LIVE</v>
          </cell>
          <cell r="E977">
            <v>41165</v>
          </cell>
          <cell r="F977" t="str">
            <v>TIER 2</v>
          </cell>
          <cell r="G977" t="str">
            <v>UNSKILLED</v>
          </cell>
          <cell r="H977">
            <v>400</v>
          </cell>
          <cell r="I977">
            <v>40424</v>
          </cell>
        </row>
        <row r="978">
          <cell r="A978" t="str">
            <v>PUNITHA A/P SUPPRAMINIAM</v>
          </cell>
          <cell r="B978" t="str">
            <v>4 00964394</v>
          </cell>
          <cell r="C978">
            <v>40177</v>
          </cell>
          <cell r="D978" t="str">
            <v>WP LIVE</v>
          </cell>
          <cell r="E978">
            <v>40914</v>
          </cell>
          <cell r="F978" t="str">
            <v>TIER 2</v>
          </cell>
          <cell r="G978" t="str">
            <v>UNSKILLED</v>
          </cell>
          <cell r="H978">
            <v>400</v>
          </cell>
          <cell r="I978">
            <v>40725</v>
          </cell>
        </row>
        <row r="979">
          <cell r="A979" t="str">
            <v>PUSPADEVI A/P MURUGASU</v>
          </cell>
          <cell r="B979" t="str">
            <v>5 37007761</v>
          </cell>
          <cell r="C979">
            <v>40291</v>
          </cell>
          <cell r="D979" t="str">
            <v>WP LIVE</v>
          </cell>
          <cell r="E979">
            <v>41356</v>
          </cell>
          <cell r="F979" t="str">
            <v>TIER 2</v>
          </cell>
          <cell r="G979" t="str">
            <v>UNSKILLED</v>
          </cell>
          <cell r="H979">
            <v>400</v>
          </cell>
          <cell r="I979">
            <v>40360</v>
          </cell>
        </row>
        <row r="980">
          <cell r="A980" t="str">
            <v>PUSPAH A/P MANIVELU</v>
          </cell>
          <cell r="B980" t="str">
            <v>4 03146501</v>
          </cell>
          <cell r="C980">
            <v>39986</v>
          </cell>
          <cell r="D980" t="str">
            <v>WP LIVE</v>
          </cell>
          <cell r="E980">
            <v>40744</v>
          </cell>
          <cell r="F980" t="str">
            <v>TIER 2</v>
          </cell>
          <cell r="G980" t="str">
            <v>UNSKILLED</v>
          </cell>
          <cell r="H980">
            <v>400</v>
          </cell>
          <cell r="I980">
            <v>39986</v>
          </cell>
        </row>
        <row r="981">
          <cell r="A981" t="str">
            <v>PUSPHAM A/P MUTHIAH</v>
          </cell>
          <cell r="B981" t="str">
            <v>3 60784770</v>
          </cell>
          <cell r="C981">
            <v>40492</v>
          </cell>
          <cell r="D981" t="str">
            <v>WP LIVE</v>
          </cell>
          <cell r="E981">
            <v>41236</v>
          </cell>
          <cell r="F981" t="str">
            <v>TIER 2</v>
          </cell>
          <cell r="G981" t="str">
            <v>UNSKILLED</v>
          </cell>
          <cell r="H981">
            <v>400</v>
          </cell>
          <cell r="I981">
            <v>40725</v>
          </cell>
        </row>
        <row r="982">
          <cell r="A982" t="str">
            <v>PUVANAYSVARI A/P MARIMUTHU</v>
          </cell>
          <cell r="B982" t="str">
            <v>3 72968710</v>
          </cell>
          <cell r="C982">
            <v>39506</v>
          </cell>
          <cell r="D982" t="str">
            <v>WP LIVE</v>
          </cell>
          <cell r="E982">
            <v>41395</v>
          </cell>
          <cell r="F982" t="str">
            <v>TIER 2</v>
          </cell>
          <cell r="G982" t="str">
            <v>UNSKILLED</v>
          </cell>
          <cell r="H982">
            <v>400</v>
          </cell>
          <cell r="I982">
            <v>40725</v>
          </cell>
        </row>
        <row r="983">
          <cell r="A983" t="str">
            <v>QI ZHONGYONG</v>
          </cell>
          <cell r="B983" t="str">
            <v>0 73449189</v>
          </cell>
          <cell r="C983">
            <v>39993</v>
          </cell>
          <cell r="D983" t="str">
            <v>WP LIVE</v>
          </cell>
          <cell r="E983">
            <v>41454</v>
          </cell>
          <cell r="F983" t="str">
            <v>TIER 2</v>
          </cell>
          <cell r="G983" t="str">
            <v>UNSKILLED</v>
          </cell>
          <cell r="H983">
            <v>400</v>
          </cell>
          <cell r="I983">
            <v>40725</v>
          </cell>
        </row>
        <row r="984">
          <cell r="A984" t="str">
            <v>QIN XUMEI</v>
          </cell>
          <cell r="B984" t="str">
            <v>0 74053068</v>
          </cell>
          <cell r="C984">
            <v>40414</v>
          </cell>
          <cell r="D984" t="str">
            <v>WP LIVE</v>
          </cell>
          <cell r="E984">
            <v>41147</v>
          </cell>
          <cell r="F984" t="str">
            <v>TIER 2</v>
          </cell>
          <cell r="G984" t="str">
            <v>UNSKILLED</v>
          </cell>
          <cell r="H984">
            <v>400</v>
          </cell>
          <cell r="I984">
            <v>40414</v>
          </cell>
        </row>
        <row r="985">
          <cell r="A985" t="str">
            <v>QU MIN</v>
          </cell>
          <cell r="B985" t="str">
            <v>0 73836263</v>
          </cell>
          <cell r="C985">
            <v>40289</v>
          </cell>
          <cell r="D985" t="str">
            <v>WP LIVE</v>
          </cell>
          <cell r="E985">
            <v>41021</v>
          </cell>
          <cell r="F985" t="str">
            <v>TIER 2</v>
          </cell>
          <cell r="G985" t="str">
            <v>UNSKILLED</v>
          </cell>
          <cell r="H985">
            <v>400</v>
          </cell>
          <cell r="I985">
            <v>40289</v>
          </cell>
        </row>
        <row r="986">
          <cell r="A986" t="str">
            <v>R KASTURI BAI A/P RANGASAMY</v>
          </cell>
          <cell r="B986" t="str">
            <v>5 32586674</v>
          </cell>
          <cell r="C986">
            <v>39860</v>
          </cell>
          <cell r="D986" t="str">
            <v>WP LIVE</v>
          </cell>
          <cell r="E986">
            <v>41334</v>
          </cell>
          <cell r="F986" t="str">
            <v>TIER 2</v>
          </cell>
          <cell r="G986" t="str">
            <v>UNSKILLED</v>
          </cell>
          <cell r="H986">
            <v>400</v>
          </cell>
          <cell r="I986">
            <v>40725</v>
          </cell>
        </row>
        <row r="987">
          <cell r="A987" t="str">
            <v>R KOKILAWANY A/P RAJAMANIKAM</v>
          </cell>
          <cell r="B987" t="str">
            <v>5 34018630</v>
          </cell>
          <cell r="C987">
            <v>40444</v>
          </cell>
          <cell r="D987" t="str">
            <v>WP LIVE</v>
          </cell>
          <cell r="E987">
            <v>41181</v>
          </cell>
          <cell r="F987" t="str">
            <v>TIER 2</v>
          </cell>
          <cell r="G987" t="str">
            <v>UNSKILLED</v>
          </cell>
          <cell r="H987">
            <v>400</v>
          </cell>
          <cell r="I987">
            <v>40444</v>
          </cell>
        </row>
        <row r="988">
          <cell r="A988" t="str">
            <v>R PRAMAVATHI A/P RASARATNAM</v>
          </cell>
          <cell r="B988" t="str">
            <v>3 67533048</v>
          </cell>
          <cell r="C988">
            <v>40357</v>
          </cell>
          <cell r="D988" t="str">
            <v>WP LIVE</v>
          </cell>
          <cell r="E988">
            <v>41095</v>
          </cell>
          <cell r="F988" t="str">
            <v>TIER 2</v>
          </cell>
          <cell r="G988" t="str">
            <v>UNSKILLED</v>
          </cell>
          <cell r="H988">
            <v>400</v>
          </cell>
          <cell r="I988">
            <v>40360</v>
          </cell>
        </row>
        <row r="989">
          <cell r="A989" t="str">
            <v>R SARASWATHY A/P M RAJU GOPAL</v>
          </cell>
          <cell r="B989" t="str">
            <v>5 01139637</v>
          </cell>
          <cell r="C989">
            <v>39959</v>
          </cell>
          <cell r="D989" t="str">
            <v>WP LIVE</v>
          </cell>
          <cell r="E989">
            <v>41427</v>
          </cell>
          <cell r="F989" t="str">
            <v>TIER 2</v>
          </cell>
          <cell r="G989" t="str">
            <v>UNSKILLED</v>
          </cell>
          <cell r="H989">
            <v>400</v>
          </cell>
          <cell r="I989">
            <v>40725</v>
          </cell>
        </row>
        <row r="990">
          <cell r="A990" t="str">
            <v>RAJA GOPAL A/L VELANGANNI</v>
          </cell>
          <cell r="B990" t="str">
            <v>5 04824381</v>
          </cell>
          <cell r="C990">
            <v>40171</v>
          </cell>
          <cell r="D990" t="str">
            <v>WP LIVE</v>
          </cell>
          <cell r="E990">
            <v>40913</v>
          </cell>
          <cell r="F990" t="str">
            <v>TIER 2</v>
          </cell>
          <cell r="G990" t="str">
            <v>UNSKILLED</v>
          </cell>
          <cell r="H990">
            <v>400</v>
          </cell>
          <cell r="I990">
            <v>40171</v>
          </cell>
        </row>
        <row r="991">
          <cell r="A991" t="str">
            <v>RAJAESUARE A/P SHUMUGAN</v>
          </cell>
          <cell r="B991" t="str">
            <v>5 21594659</v>
          </cell>
          <cell r="C991">
            <v>38765</v>
          </cell>
          <cell r="D991" t="str">
            <v>WP LIVE</v>
          </cell>
          <cell r="E991">
            <v>40798</v>
          </cell>
          <cell r="F991" t="str">
            <v>TIER 2</v>
          </cell>
          <cell r="G991" t="str">
            <v>UNSKILLED</v>
          </cell>
          <cell r="H991">
            <v>400</v>
          </cell>
          <cell r="I991">
            <v>40725</v>
          </cell>
        </row>
        <row r="992">
          <cell r="A992" t="str">
            <v>RAJALATCHUMY A/P SUBRAMANIAN</v>
          </cell>
          <cell r="B992" t="str">
            <v>5 38927325</v>
          </cell>
          <cell r="C992">
            <v>39470</v>
          </cell>
          <cell r="D992" t="str">
            <v>WP LIVE</v>
          </cell>
          <cell r="E992">
            <v>40957</v>
          </cell>
          <cell r="F992" t="str">
            <v>TIER 2</v>
          </cell>
          <cell r="G992" t="str">
            <v>UNSKILLED</v>
          </cell>
          <cell r="H992">
            <v>400</v>
          </cell>
          <cell r="I992">
            <v>40725</v>
          </cell>
        </row>
        <row r="993">
          <cell r="A993" t="str">
            <v>RAJALECHUMY A/P GOVINDASAMY</v>
          </cell>
          <cell r="B993" t="str">
            <v>4 03380954</v>
          </cell>
          <cell r="C993">
            <v>40296</v>
          </cell>
          <cell r="D993" t="str">
            <v>WP LIVE</v>
          </cell>
          <cell r="E993">
            <v>41046</v>
          </cell>
          <cell r="F993" t="str">
            <v>TIER 2</v>
          </cell>
          <cell r="G993" t="str">
            <v>UNSKILLED</v>
          </cell>
          <cell r="H993">
            <v>400</v>
          </cell>
          <cell r="I993">
            <v>40296</v>
          </cell>
        </row>
        <row r="994">
          <cell r="A994" t="str">
            <v>RAJAMAH A/P SUBRAMANIAM</v>
          </cell>
          <cell r="B994" t="str">
            <v>5 0259382-</v>
          </cell>
          <cell r="C994">
            <v>40472</v>
          </cell>
          <cell r="D994" t="str">
            <v>WP LIVE</v>
          </cell>
          <cell r="E994">
            <v>40961</v>
          </cell>
          <cell r="F994" t="str">
            <v>TIER 2</v>
          </cell>
          <cell r="G994" t="str">
            <v>UNSKILLED</v>
          </cell>
          <cell r="H994">
            <v>400</v>
          </cell>
          <cell r="I994">
            <v>40472</v>
          </cell>
        </row>
        <row r="995">
          <cell r="A995" t="str">
            <v>RAJAMANIKKAM A/L K KRISHNAN</v>
          </cell>
          <cell r="B995" t="str">
            <v>5 21982853</v>
          </cell>
          <cell r="C995">
            <v>39820</v>
          </cell>
          <cell r="D995" t="str">
            <v>WP LIVE</v>
          </cell>
          <cell r="E995">
            <v>41128</v>
          </cell>
          <cell r="F995" t="str">
            <v>TIER 2</v>
          </cell>
          <cell r="G995" t="str">
            <v>UNSKILLED</v>
          </cell>
          <cell r="H995">
            <v>400</v>
          </cell>
          <cell r="I995">
            <v>39820</v>
          </cell>
        </row>
        <row r="996">
          <cell r="A996" t="str">
            <v>RAJAPADMINI A/P RAJAGOPAL</v>
          </cell>
          <cell r="B996" t="str">
            <v>5 23415468</v>
          </cell>
          <cell r="C996">
            <v>40353</v>
          </cell>
          <cell r="D996" t="str">
            <v>WP LIVE</v>
          </cell>
          <cell r="E996">
            <v>40903</v>
          </cell>
          <cell r="F996" t="str">
            <v>TIER 2</v>
          </cell>
          <cell r="G996" t="str">
            <v>UNSKILLED</v>
          </cell>
          <cell r="H996">
            <v>400</v>
          </cell>
          <cell r="I996">
            <v>40353</v>
          </cell>
        </row>
        <row r="997">
          <cell r="A997" t="str">
            <v>RAJESVARI A/P V A RAJARAM</v>
          </cell>
          <cell r="B997" t="str">
            <v>5 32152046</v>
          </cell>
          <cell r="C997">
            <v>40242</v>
          </cell>
          <cell r="D997" t="str">
            <v>WP LIVE</v>
          </cell>
          <cell r="E997">
            <v>40756</v>
          </cell>
          <cell r="F997" t="str">
            <v>TIER 2</v>
          </cell>
          <cell r="G997" t="str">
            <v>UNSKILLED</v>
          </cell>
          <cell r="H997">
            <v>400</v>
          </cell>
          <cell r="I997">
            <v>40725</v>
          </cell>
        </row>
        <row r="998">
          <cell r="A998" t="str">
            <v>RAJESVERY A/P MADHAVAN</v>
          </cell>
          <cell r="B998" t="str">
            <v>4 02649291</v>
          </cell>
          <cell r="C998">
            <v>39433</v>
          </cell>
          <cell r="D998" t="str">
            <v>WP LIVE</v>
          </cell>
          <cell r="E998">
            <v>40903</v>
          </cell>
          <cell r="F998" t="str">
            <v>TIER 2</v>
          </cell>
          <cell r="G998" t="str">
            <v>UNSKILLED</v>
          </cell>
          <cell r="H998">
            <v>400</v>
          </cell>
          <cell r="I998">
            <v>40725</v>
          </cell>
        </row>
        <row r="999">
          <cell r="A999" t="str">
            <v>RAJIS A/P PANJAMAN</v>
          </cell>
          <cell r="B999" t="str">
            <v>4 00021864</v>
          </cell>
          <cell r="C999">
            <v>40255</v>
          </cell>
          <cell r="D999" t="str">
            <v>WP LIVE</v>
          </cell>
          <cell r="E999">
            <v>41011</v>
          </cell>
          <cell r="F999" t="str">
            <v>TIER 2</v>
          </cell>
          <cell r="G999" t="str">
            <v>UNSKILLED</v>
          </cell>
          <cell r="H999">
            <v>400</v>
          </cell>
          <cell r="I999">
            <v>40725</v>
          </cell>
        </row>
        <row r="1000">
          <cell r="A1000" t="str">
            <v>RAMAIE A/P ALAGAPPAN</v>
          </cell>
          <cell r="B1000" t="str">
            <v>3 51331739</v>
          </cell>
          <cell r="C1000">
            <v>39563</v>
          </cell>
          <cell r="D1000" t="str">
            <v>WP LIVE</v>
          </cell>
          <cell r="E1000">
            <v>41048</v>
          </cell>
          <cell r="F1000" t="str">
            <v>TIER 2</v>
          </cell>
          <cell r="G1000" t="str">
            <v>UNSKILLED</v>
          </cell>
          <cell r="H1000">
            <v>400</v>
          </cell>
          <cell r="I1000">
            <v>40725</v>
          </cell>
        </row>
        <row r="1001">
          <cell r="A1001" t="str">
            <v>RAMAKRISHNAN A/L NADARAJAH</v>
          </cell>
          <cell r="B1001" t="str">
            <v>4 01239723</v>
          </cell>
          <cell r="C1001">
            <v>39734</v>
          </cell>
          <cell r="D1001" t="str">
            <v>WP LIVE</v>
          </cell>
          <cell r="E1001">
            <v>40916</v>
          </cell>
          <cell r="F1001" t="str">
            <v>TIER 2</v>
          </cell>
          <cell r="G1001" t="str">
            <v>UNSKILLED</v>
          </cell>
          <cell r="H1001">
            <v>400</v>
          </cell>
          <cell r="I1001">
            <v>40725</v>
          </cell>
        </row>
        <row r="1002">
          <cell r="A1002" t="str">
            <v>RAMAN A/L MUNUSAMY</v>
          </cell>
          <cell r="B1002" t="str">
            <v>4 0320188-</v>
          </cell>
          <cell r="C1002">
            <v>40465</v>
          </cell>
          <cell r="D1002" t="str">
            <v>WP LIVE</v>
          </cell>
          <cell r="E1002">
            <v>41217</v>
          </cell>
          <cell r="F1002" t="str">
            <v>TIER 2</v>
          </cell>
          <cell r="G1002" t="str">
            <v>UNSKILLED</v>
          </cell>
          <cell r="H1002">
            <v>400</v>
          </cell>
          <cell r="I1002">
            <v>40465</v>
          </cell>
        </row>
        <row r="1003">
          <cell r="A1003" t="str">
            <v>RAMAYEE A/P RAMIAH</v>
          </cell>
          <cell r="B1003" t="str">
            <v>3 55184978</v>
          </cell>
          <cell r="C1003">
            <v>40252</v>
          </cell>
          <cell r="D1003" t="str">
            <v>WP LIVE</v>
          </cell>
          <cell r="E1003">
            <v>41350</v>
          </cell>
          <cell r="F1003" t="str">
            <v>TIER 2</v>
          </cell>
          <cell r="G1003" t="str">
            <v>UNSKILLED</v>
          </cell>
          <cell r="H1003">
            <v>400</v>
          </cell>
          <cell r="I1003">
            <v>40725</v>
          </cell>
        </row>
        <row r="1004">
          <cell r="A1004" t="str">
            <v>RAO JIAJIA</v>
          </cell>
          <cell r="B1004" t="str">
            <v>0 73903238</v>
          </cell>
          <cell r="C1004">
            <v>40323</v>
          </cell>
          <cell r="D1004" t="str">
            <v>WP LIVE</v>
          </cell>
          <cell r="E1004">
            <v>41059</v>
          </cell>
          <cell r="F1004" t="str">
            <v>TIER 2</v>
          </cell>
          <cell r="G1004" t="str">
            <v>UNSKILLED</v>
          </cell>
          <cell r="H1004">
            <v>400</v>
          </cell>
          <cell r="I1004">
            <v>40323</v>
          </cell>
        </row>
        <row r="1005">
          <cell r="A1005" t="str">
            <v>RAVI A/L PERIASAMY</v>
          </cell>
          <cell r="B1005" t="str">
            <v>5 06773385</v>
          </cell>
          <cell r="C1005">
            <v>40360</v>
          </cell>
          <cell r="D1005" t="str">
            <v>WP LIVE</v>
          </cell>
          <cell r="E1005">
            <v>41102</v>
          </cell>
          <cell r="F1005" t="str">
            <v>TIER 2</v>
          </cell>
          <cell r="G1005" t="str">
            <v>UNSKILLED</v>
          </cell>
          <cell r="H1005">
            <v>400</v>
          </cell>
          <cell r="I1005">
            <v>40725</v>
          </cell>
        </row>
        <row r="1006">
          <cell r="A1006" t="str">
            <v>RAVINDRAN A/L RAJAGOPAL</v>
          </cell>
          <cell r="B1006" t="str">
            <v>5 09662312</v>
          </cell>
          <cell r="C1006">
            <v>40315</v>
          </cell>
          <cell r="D1006" t="str">
            <v>WP LIVE</v>
          </cell>
          <cell r="E1006">
            <v>41053</v>
          </cell>
          <cell r="F1006" t="str">
            <v>TIER 2</v>
          </cell>
          <cell r="G1006" t="str">
            <v>UNSKILLED</v>
          </cell>
          <cell r="H1006">
            <v>400</v>
          </cell>
          <cell r="I1006">
            <v>40315</v>
          </cell>
        </row>
        <row r="1007">
          <cell r="A1007" t="str">
            <v>REN JINHONG</v>
          </cell>
          <cell r="B1007" t="str">
            <v>0 73805317</v>
          </cell>
          <cell r="C1007">
            <v>40274</v>
          </cell>
          <cell r="D1007" t="str">
            <v>WP LIVE</v>
          </cell>
          <cell r="E1007">
            <v>41399</v>
          </cell>
          <cell r="F1007" t="str">
            <v>TIER 2</v>
          </cell>
          <cell r="G1007" t="str">
            <v>UNSKILLED</v>
          </cell>
          <cell r="H1007">
            <v>400</v>
          </cell>
          <cell r="I1007">
            <v>40725</v>
          </cell>
        </row>
        <row r="1008">
          <cell r="A1008" t="str">
            <v>RICHARD JOHNSON A/L PARGIS</v>
          </cell>
          <cell r="B1008" t="str">
            <v>3 38945450</v>
          </cell>
          <cell r="C1008">
            <v>40417</v>
          </cell>
          <cell r="D1008" t="str">
            <v>WP LIVE</v>
          </cell>
          <cell r="E1008">
            <v>41172</v>
          </cell>
          <cell r="F1008" t="str">
            <v>TIER 2</v>
          </cell>
          <cell r="G1008" t="str">
            <v>UNSKILLED</v>
          </cell>
          <cell r="H1008">
            <v>400</v>
          </cell>
          <cell r="I1008">
            <v>40725</v>
          </cell>
        </row>
        <row r="1009">
          <cell r="A1009" t="str">
            <v>RIZLAN HAMILIN</v>
          </cell>
          <cell r="B1009" t="str">
            <v>4 01750797</v>
          </cell>
          <cell r="C1009">
            <v>40182</v>
          </cell>
          <cell r="D1009" t="str">
            <v>WP LIVE</v>
          </cell>
          <cell r="E1009">
            <v>40929</v>
          </cell>
          <cell r="F1009" t="str">
            <v>TIER 2</v>
          </cell>
          <cell r="G1009" t="str">
            <v>UNSKILLED</v>
          </cell>
          <cell r="H1009">
            <v>400</v>
          </cell>
          <cell r="I1009">
            <v>40725</v>
          </cell>
        </row>
        <row r="1010">
          <cell r="A1010" t="str">
            <v>ROHANA BINTI DRAMAN</v>
          </cell>
          <cell r="B1010" t="str">
            <v>5 22726133</v>
          </cell>
          <cell r="C1010">
            <v>39819</v>
          </cell>
          <cell r="D1010" t="str">
            <v>WP LIVE</v>
          </cell>
          <cell r="E1010">
            <v>41272</v>
          </cell>
          <cell r="F1010" t="str">
            <v>TIER 2</v>
          </cell>
          <cell r="G1010" t="str">
            <v>UNSKILLED</v>
          </cell>
          <cell r="H1010">
            <v>400</v>
          </cell>
          <cell r="I1010">
            <v>40725</v>
          </cell>
        </row>
        <row r="1011">
          <cell r="A1011" t="str">
            <v>ROHANI BINTI ABU BAKAR</v>
          </cell>
          <cell r="B1011" t="str">
            <v>3 74762516</v>
          </cell>
          <cell r="C1011">
            <v>40085</v>
          </cell>
          <cell r="D1011" t="str">
            <v>WP LIVE</v>
          </cell>
          <cell r="E1011">
            <v>40735</v>
          </cell>
          <cell r="F1011" t="str">
            <v>TIER 2</v>
          </cell>
          <cell r="G1011" t="str">
            <v>UNSKILLED</v>
          </cell>
          <cell r="H1011">
            <v>400</v>
          </cell>
          <cell r="I1011">
            <v>40725</v>
          </cell>
        </row>
        <row r="1012">
          <cell r="A1012" t="str">
            <v>ROHANI BINTI MOHD SALLEH</v>
          </cell>
          <cell r="B1012" t="str">
            <v>5 05743172</v>
          </cell>
          <cell r="C1012">
            <v>39589</v>
          </cell>
          <cell r="D1012" t="str">
            <v>WP LIVE</v>
          </cell>
          <cell r="E1012">
            <v>41062</v>
          </cell>
          <cell r="F1012" t="str">
            <v>TIER 2</v>
          </cell>
          <cell r="G1012" t="str">
            <v>UNSKILLED</v>
          </cell>
          <cell r="H1012">
            <v>400</v>
          </cell>
          <cell r="I1012">
            <v>40725</v>
          </cell>
        </row>
        <row r="1013">
          <cell r="A1013" t="str">
            <v>ROSLY BIN SAFIE</v>
          </cell>
          <cell r="B1013" t="str">
            <v>4 0304301-</v>
          </cell>
          <cell r="C1013">
            <v>40157</v>
          </cell>
          <cell r="D1013" t="str">
            <v>WP LIVE</v>
          </cell>
          <cell r="E1013">
            <v>40900</v>
          </cell>
          <cell r="F1013" t="str">
            <v>TIER 2</v>
          </cell>
          <cell r="G1013" t="str">
            <v>UNSKILLED</v>
          </cell>
          <cell r="H1013">
            <v>400</v>
          </cell>
          <cell r="I1013">
            <v>40157</v>
          </cell>
        </row>
        <row r="1014">
          <cell r="A1014" t="str">
            <v>ROZEMY BIN ADLAN</v>
          </cell>
          <cell r="B1014" t="str">
            <v>4 02334789</v>
          </cell>
          <cell r="C1014">
            <v>40380</v>
          </cell>
          <cell r="D1014" t="str">
            <v>WP LIVE</v>
          </cell>
          <cell r="E1014">
            <v>40839</v>
          </cell>
          <cell r="F1014" t="str">
            <v>TIER 2</v>
          </cell>
          <cell r="G1014" t="str">
            <v>UNSKILLED</v>
          </cell>
          <cell r="H1014">
            <v>400</v>
          </cell>
          <cell r="I1014">
            <v>40725</v>
          </cell>
        </row>
        <row r="1015">
          <cell r="A1015" t="str">
            <v>RUBAH A/P GOVINDASAMY</v>
          </cell>
          <cell r="B1015" t="str">
            <v>5 26822013</v>
          </cell>
          <cell r="C1015">
            <v>39654</v>
          </cell>
          <cell r="D1015" t="str">
            <v>WP LIVE</v>
          </cell>
          <cell r="E1015">
            <v>41373</v>
          </cell>
          <cell r="F1015" t="str">
            <v>TIER 2</v>
          </cell>
          <cell r="G1015" t="str">
            <v>UNSKILLED</v>
          </cell>
          <cell r="H1015">
            <v>400</v>
          </cell>
          <cell r="I1015">
            <v>40725</v>
          </cell>
        </row>
        <row r="1016">
          <cell r="A1016" t="str">
            <v>RUSIAH BINTI MD AZIZ</v>
          </cell>
          <cell r="B1016" t="str">
            <v>3 72851430</v>
          </cell>
          <cell r="C1016">
            <v>40457</v>
          </cell>
          <cell r="D1016" t="str">
            <v>WP LIVE</v>
          </cell>
          <cell r="E1016">
            <v>41130</v>
          </cell>
          <cell r="F1016" t="str">
            <v>TIER 2</v>
          </cell>
          <cell r="G1016" t="str">
            <v>UNSKILLED</v>
          </cell>
          <cell r="H1016">
            <v>400</v>
          </cell>
          <cell r="I1016">
            <v>40457</v>
          </cell>
        </row>
        <row r="1017">
          <cell r="A1017" t="str">
            <v>S SANDAKUMARY A/P SANDRAKASOO</v>
          </cell>
          <cell r="B1017" t="str">
            <v>3 63699898</v>
          </cell>
          <cell r="C1017">
            <v>38789</v>
          </cell>
          <cell r="D1017" t="str">
            <v>WP LIVE</v>
          </cell>
          <cell r="E1017">
            <v>41001</v>
          </cell>
          <cell r="F1017" t="str">
            <v>TIER 2</v>
          </cell>
          <cell r="G1017" t="str">
            <v>UNSKILLED</v>
          </cell>
          <cell r="H1017">
            <v>400</v>
          </cell>
          <cell r="I1017">
            <v>40725</v>
          </cell>
        </row>
        <row r="1018">
          <cell r="A1018" t="str">
            <v>SABU BIN PUTIN</v>
          </cell>
          <cell r="B1018" t="str">
            <v>8 93461132</v>
          </cell>
          <cell r="C1018">
            <v>39038</v>
          </cell>
          <cell r="D1018" t="str">
            <v>WP LIVE</v>
          </cell>
          <cell r="E1018">
            <v>40829</v>
          </cell>
          <cell r="F1018" t="str">
            <v>TIER 2</v>
          </cell>
          <cell r="G1018" t="str">
            <v>UNSKILLED</v>
          </cell>
          <cell r="H1018">
            <v>400</v>
          </cell>
          <cell r="I1018">
            <v>40725</v>
          </cell>
        </row>
        <row r="1019">
          <cell r="A1019" t="str">
            <v>SAGAYAMARY A/P ASSU</v>
          </cell>
          <cell r="B1019" t="str">
            <v>5 04652920</v>
          </cell>
          <cell r="C1019">
            <v>39757</v>
          </cell>
          <cell r="D1019" t="str">
            <v>WP LIVE</v>
          </cell>
          <cell r="E1019">
            <v>41231</v>
          </cell>
          <cell r="F1019" t="str">
            <v>TIER 2</v>
          </cell>
          <cell r="G1019" t="str">
            <v>UNSKILLED</v>
          </cell>
          <cell r="H1019">
            <v>400</v>
          </cell>
          <cell r="I1019">
            <v>40725</v>
          </cell>
        </row>
        <row r="1020">
          <cell r="A1020" t="str">
            <v>SAGUNTHALA A/P D MUNUSAMY</v>
          </cell>
          <cell r="B1020" t="str">
            <v>5 23729918</v>
          </cell>
          <cell r="C1020">
            <v>39024</v>
          </cell>
          <cell r="D1020" t="str">
            <v>WP LIVE</v>
          </cell>
          <cell r="E1020">
            <v>40816</v>
          </cell>
          <cell r="F1020" t="str">
            <v>TIER 2</v>
          </cell>
          <cell r="G1020" t="str">
            <v>UNSKILLED</v>
          </cell>
          <cell r="H1020">
            <v>400</v>
          </cell>
          <cell r="I1020">
            <v>40725</v>
          </cell>
        </row>
        <row r="1021">
          <cell r="A1021" t="str">
            <v>SAILAJAH A/P PATHASARGE</v>
          </cell>
          <cell r="B1021" t="str">
            <v>4 00276374</v>
          </cell>
          <cell r="C1021">
            <v>40297</v>
          </cell>
          <cell r="D1021" t="str">
            <v>WP LIVE</v>
          </cell>
          <cell r="E1021">
            <v>40793</v>
          </cell>
          <cell r="F1021" t="str">
            <v>TIER 2</v>
          </cell>
          <cell r="G1021" t="str">
            <v>UNSKILLED</v>
          </cell>
          <cell r="H1021">
            <v>400</v>
          </cell>
          <cell r="I1021">
            <v>40360</v>
          </cell>
        </row>
        <row r="1022">
          <cell r="A1022" t="str">
            <v>SAKADEVAN A/L SINNAPPAN</v>
          </cell>
          <cell r="B1022" t="str">
            <v>4 01211454</v>
          </cell>
          <cell r="C1022">
            <v>39268</v>
          </cell>
          <cell r="D1022" t="str">
            <v>WP LIVE</v>
          </cell>
          <cell r="E1022">
            <v>41264</v>
          </cell>
          <cell r="F1022" t="str">
            <v>TIER 2</v>
          </cell>
          <cell r="G1022" t="str">
            <v>UNSKILLED</v>
          </cell>
          <cell r="H1022">
            <v>400</v>
          </cell>
          <cell r="I1022">
            <v>40725</v>
          </cell>
        </row>
        <row r="1023">
          <cell r="A1023" t="str">
            <v>SAKTISWARAN A/L M CHANDRAN</v>
          </cell>
          <cell r="B1023" t="str">
            <v>4 03308919</v>
          </cell>
          <cell r="C1023">
            <v>40228</v>
          </cell>
          <cell r="D1023" t="str">
            <v>WP LIVE</v>
          </cell>
          <cell r="E1023">
            <v>40970</v>
          </cell>
          <cell r="F1023" t="str">
            <v>TIER 2</v>
          </cell>
          <cell r="G1023" t="str">
            <v>UNSKILLED</v>
          </cell>
          <cell r="H1023">
            <v>400</v>
          </cell>
          <cell r="I1023">
            <v>40725</v>
          </cell>
        </row>
        <row r="1024">
          <cell r="A1024" t="str">
            <v>SALEHAH BINTI DAHALAN</v>
          </cell>
          <cell r="B1024" t="str">
            <v>5 17418455</v>
          </cell>
          <cell r="C1024">
            <v>40451</v>
          </cell>
          <cell r="D1024" t="str">
            <v>WP LIVE</v>
          </cell>
          <cell r="E1024">
            <v>40942</v>
          </cell>
          <cell r="F1024" t="str">
            <v>TIER 2</v>
          </cell>
          <cell r="G1024" t="str">
            <v>UNSKILLED</v>
          </cell>
          <cell r="H1024">
            <v>400</v>
          </cell>
          <cell r="I1024">
            <v>40451</v>
          </cell>
        </row>
        <row r="1025">
          <cell r="A1025" t="str">
            <v>SALVE A/P RAMASAMY</v>
          </cell>
          <cell r="B1025" t="str">
            <v>4 01764720</v>
          </cell>
          <cell r="C1025">
            <v>39092</v>
          </cell>
          <cell r="D1025" t="str">
            <v>WP LIVE</v>
          </cell>
          <cell r="E1025">
            <v>40880</v>
          </cell>
          <cell r="F1025" t="str">
            <v>TIER 2</v>
          </cell>
          <cell r="G1025" t="str">
            <v>UNSKILLED</v>
          </cell>
          <cell r="H1025">
            <v>400</v>
          </cell>
          <cell r="I1025">
            <v>40725</v>
          </cell>
        </row>
        <row r="1026">
          <cell r="A1026" t="str">
            <v>SAMAD BIN AHMAD</v>
          </cell>
          <cell r="B1026" t="str">
            <v>4 01600655</v>
          </cell>
          <cell r="C1026">
            <v>39633</v>
          </cell>
          <cell r="D1026" t="str">
            <v>WP LIVE</v>
          </cell>
          <cell r="E1026">
            <v>41111</v>
          </cell>
          <cell r="F1026" t="str">
            <v>TIER 2</v>
          </cell>
          <cell r="G1026" t="str">
            <v>UNSKILLED</v>
          </cell>
          <cell r="H1026">
            <v>400</v>
          </cell>
          <cell r="I1026">
            <v>40725</v>
          </cell>
        </row>
        <row r="1027">
          <cell r="A1027" t="str">
            <v>SANGEETHA A/P P NANBAN</v>
          </cell>
          <cell r="B1027" t="str">
            <v>4 03402451</v>
          </cell>
          <cell r="C1027">
            <v>40295</v>
          </cell>
          <cell r="D1027" t="str">
            <v>WP LIVE</v>
          </cell>
          <cell r="E1027">
            <v>40970</v>
          </cell>
          <cell r="F1027" t="str">
            <v>TIER 2</v>
          </cell>
          <cell r="G1027" t="str">
            <v>UNSKILLED</v>
          </cell>
          <cell r="H1027">
            <v>400</v>
          </cell>
          <cell r="I1027">
            <v>40360</v>
          </cell>
        </row>
        <row r="1028">
          <cell r="A1028" t="str">
            <v>SANTHA A/P KRISHNAN</v>
          </cell>
          <cell r="B1028" t="str">
            <v>5 09918864</v>
          </cell>
          <cell r="C1028">
            <v>40026</v>
          </cell>
          <cell r="D1028" t="str">
            <v>WP LIVE</v>
          </cell>
          <cell r="E1028">
            <v>40780</v>
          </cell>
          <cell r="F1028" t="str">
            <v>TIER 2</v>
          </cell>
          <cell r="G1028" t="str">
            <v>UNSKILLED</v>
          </cell>
          <cell r="H1028">
            <v>400</v>
          </cell>
          <cell r="I1028">
            <v>40725</v>
          </cell>
        </row>
        <row r="1029">
          <cell r="A1029" t="str">
            <v>SANTHI A/P GOPAL</v>
          </cell>
          <cell r="B1029" t="str">
            <v>3 73284823</v>
          </cell>
          <cell r="C1029">
            <v>39113</v>
          </cell>
          <cell r="D1029" t="str">
            <v>WP LIVE</v>
          </cell>
          <cell r="E1029">
            <v>41282</v>
          </cell>
          <cell r="F1029" t="str">
            <v>TIER 2</v>
          </cell>
          <cell r="G1029" t="str">
            <v>UNSKILLED</v>
          </cell>
          <cell r="H1029">
            <v>400</v>
          </cell>
          <cell r="I1029">
            <v>40725</v>
          </cell>
        </row>
        <row r="1030">
          <cell r="A1030" t="str">
            <v>SANTHI A/P SAMYNATHAN</v>
          </cell>
          <cell r="B1030" t="str">
            <v>5 31155602</v>
          </cell>
          <cell r="C1030">
            <v>39323</v>
          </cell>
          <cell r="D1030" t="str">
            <v>WP LIVE</v>
          </cell>
          <cell r="E1030">
            <v>41369</v>
          </cell>
          <cell r="F1030" t="str">
            <v>TIER 2</v>
          </cell>
          <cell r="G1030" t="str">
            <v>UNSKILLED</v>
          </cell>
          <cell r="H1030">
            <v>400</v>
          </cell>
          <cell r="I1030">
            <v>40725</v>
          </cell>
        </row>
        <row r="1031">
          <cell r="A1031" t="str">
            <v>SANTHI A/P SUBRAMANIAM</v>
          </cell>
          <cell r="B1031" t="str">
            <v>5 26605748</v>
          </cell>
          <cell r="C1031">
            <v>39624</v>
          </cell>
          <cell r="D1031" t="str">
            <v>WP LIVE</v>
          </cell>
          <cell r="E1031">
            <v>41021</v>
          </cell>
          <cell r="F1031" t="str">
            <v>TIER 2</v>
          </cell>
          <cell r="G1031" t="str">
            <v>UNSKILLED</v>
          </cell>
          <cell r="H1031">
            <v>400</v>
          </cell>
          <cell r="I1031">
            <v>40725</v>
          </cell>
        </row>
        <row r="1032">
          <cell r="A1032" t="str">
            <v>SANTHI A/P THANNIMALAI</v>
          </cell>
          <cell r="B1032" t="str">
            <v>5 2539381-</v>
          </cell>
          <cell r="C1032">
            <v>40277</v>
          </cell>
          <cell r="D1032" t="str">
            <v>WP LIVE</v>
          </cell>
          <cell r="E1032">
            <v>40948</v>
          </cell>
          <cell r="F1032" t="str">
            <v>TIER 2</v>
          </cell>
          <cell r="G1032" t="str">
            <v>UNSKILLED</v>
          </cell>
          <cell r="H1032">
            <v>400</v>
          </cell>
          <cell r="I1032">
            <v>40360</v>
          </cell>
        </row>
        <row r="1033">
          <cell r="A1033" t="str">
            <v>SANTRALEKA A/P GUNASEKARAN</v>
          </cell>
          <cell r="B1033" t="str">
            <v>4 0355636-</v>
          </cell>
          <cell r="C1033">
            <v>40463</v>
          </cell>
          <cell r="D1033" t="str">
            <v>WP LIVE</v>
          </cell>
          <cell r="E1033">
            <v>41214</v>
          </cell>
          <cell r="F1033" t="str">
            <v>TIER 2</v>
          </cell>
          <cell r="G1033" t="str">
            <v>UNSKILLED</v>
          </cell>
          <cell r="H1033">
            <v>400</v>
          </cell>
          <cell r="I1033">
            <v>40725</v>
          </cell>
        </row>
        <row r="1034">
          <cell r="A1034" t="str">
            <v>SARALA DEVI A/P SAVATHUAN</v>
          </cell>
          <cell r="B1034" t="str">
            <v>5 29599579</v>
          </cell>
          <cell r="C1034">
            <v>40497</v>
          </cell>
          <cell r="D1034" t="str">
            <v>WP LIVE</v>
          </cell>
          <cell r="E1034">
            <v>41234</v>
          </cell>
          <cell r="F1034" t="str">
            <v>TIER 2</v>
          </cell>
          <cell r="G1034" t="str">
            <v>UNSKILLED</v>
          </cell>
          <cell r="H1034">
            <v>400</v>
          </cell>
          <cell r="I1034">
            <v>40725</v>
          </cell>
        </row>
        <row r="1035">
          <cell r="A1035" t="str">
            <v>SARASPATHY A/P A SUBRAMANIAN</v>
          </cell>
          <cell r="B1035" t="str">
            <v>5 32602254</v>
          </cell>
          <cell r="C1035">
            <v>38502</v>
          </cell>
          <cell r="D1035" t="str">
            <v>WP LIVE</v>
          </cell>
          <cell r="E1035">
            <v>41442</v>
          </cell>
          <cell r="F1035" t="str">
            <v>TIER 2</v>
          </cell>
          <cell r="G1035" t="str">
            <v>UNSKILLED</v>
          </cell>
          <cell r="H1035">
            <v>400</v>
          </cell>
          <cell r="I1035">
            <v>40725</v>
          </cell>
        </row>
        <row r="1036">
          <cell r="A1036" t="str">
            <v>SARASPATHY A/P LATCHMAN</v>
          </cell>
          <cell r="B1036" t="str">
            <v>5 31533887</v>
          </cell>
          <cell r="C1036">
            <v>39646</v>
          </cell>
          <cell r="D1036" t="str">
            <v>WP LIVE</v>
          </cell>
          <cell r="E1036">
            <v>41243</v>
          </cell>
          <cell r="F1036" t="str">
            <v>TIER 2</v>
          </cell>
          <cell r="G1036" t="str">
            <v>UNSKILLED</v>
          </cell>
          <cell r="H1036">
            <v>400</v>
          </cell>
          <cell r="I1036">
            <v>40725</v>
          </cell>
        </row>
        <row r="1037">
          <cell r="A1037" t="str">
            <v>SARASVATHY A/P CHELLAPPAN</v>
          </cell>
          <cell r="B1037" t="str">
            <v>5 14543259</v>
          </cell>
          <cell r="C1037">
            <v>39708</v>
          </cell>
          <cell r="D1037" t="str">
            <v>WP LIVE</v>
          </cell>
          <cell r="E1037">
            <v>40816</v>
          </cell>
          <cell r="F1037" t="str">
            <v>TIER 2</v>
          </cell>
          <cell r="G1037" t="str">
            <v>UNSKILLED</v>
          </cell>
          <cell r="H1037">
            <v>400</v>
          </cell>
          <cell r="I1037">
            <v>39708</v>
          </cell>
        </row>
        <row r="1038">
          <cell r="A1038" t="str">
            <v>SARASWATHI A/P CHANAN SINGH</v>
          </cell>
          <cell r="B1038" t="str">
            <v>5 18936271</v>
          </cell>
          <cell r="C1038">
            <v>40463</v>
          </cell>
          <cell r="D1038" t="str">
            <v>WP LIVE</v>
          </cell>
          <cell r="E1038">
            <v>41101</v>
          </cell>
          <cell r="F1038" t="str">
            <v>TIER 2</v>
          </cell>
          <cell r="G1038" t="str">
            <v>UNSKILLED</v>
          </cell>
          <cell r="H1038">
            <v>400</v>
          </cell>
          <cell r="I1038">
            <v>40463</v>
          </cell>
        </row>
        <row r="1039">
          <cell r="A1039" t="str">
            <v>SARASWATHY A/P MANIAM</v>
          </cell>
          <cell r="B1039" t="str">
            <v>4 00413320</v>
          </cell>
          <cell r="C1039">
            <v>39281</v>
          </cell>
          <cell r="D1039" t="str">
            <v>WP LIVE</v>
          </cell>
          <cell r="E1039">
            <v>40755</v>
          </cell>
          <cell r="F1039" t="str">
            <v>TIER 2</v>
          </cell>
          <cell r="G1039" t="str">
            <v>UNSKILLED</v>
          </cell>
          <cell r="H1039">
            <v>400</v>
          </cell>
          <cell r="I1039">
            <v>40725</v>
          </cell>
        </row>
        <row r="1040">
          <cell r="A1040" t="str">
            <v>SARASWATHY A/P SUBRAMANIAM</v>
          </cell>
          <cell r="B1040" t="str">
            <v>4 01752587</v>
          </cell>
          <cell r="C1040">
            <v>39206</v>
          </cell>
          <cell r="D1040" t="str">
            <v>WP LIVE</v>
          </cell>
          <cell r="E1040">
            <v>41368</v>
          </cell>
          <cell r="F1040" t="str">
            <v>TIER 2</v>
          </cell>
          <cell r="G1040" t="str">
            <v>UNSKILLED</v>
          </cell>
          <cell r="H1040">
            <v>400</v>
          </cell>
          <cell r="I1040">
            <v>40725</v>
          </cell>
        </row>
        <row r="1041">
          <cell r="A1041" t="str">
            <v>SARASWATHY A/P VELLU</v>
          </cell>
          <cell r="B1041" t="str">
            <v>5 11637856</v>
          </cell>
          <cell r="C1041">
            <v>39604</v>
          </cell>
          <cell r="D1041" t="str">
            <v>WP LIVE</v>
          </cell>
          <cell r="E1041">
            <v>41091</v>
          </cell>
          <cell r="F1041" t="str">
            <v>TIER 2</v>
          </cell>
          <cell r="G1041" t="str">
            <v>UNSKILLED</v>
          </cell>
          <cell r="H1041">
            <v>400</v>
          </cell>
          <cell r="I1041">
            <v>40725</v>
          </cell>
        </row>
        <row r="1042">
          <cell r="A1042" t="str">
            <v>SARAVANAN A/L R KRISHNAN</v>
          </cell>
          <cell r="B1042" t="str">
            <v>5 18680552</v>
          </cell>
          <cell r="C1042">
            <v>39500</v>
          </cell>
          <cell r="D1042" t="str">
            <v>WP LIVE</v>
          </cell>
          <cell r="E1042">
            <v>41415</v>
          </cell>
          <cell r="F1042" t="str">
            <v>TIER 2</v>
          </cell>
          <cell r="G1042" t="str">
            <v>UNSKILLED</v>
          </cell>
          <cell r="H1042">
            <v>400</v>
          </cell>
          <cell r="I1042">
            <v>40725</v>
          </cell>
        </row>
        <row r="1043">
          <cell r="A1043" t="str">
            <v>SARAWANAN UTTARAJA POOBITHY</v>
          </cell>
          <cell r="B1043" t="str">
            <v>5 16401567</v>
          </cell>
          <cell r="C1043">
            <v>40505</v>
          </cell>
          <cell r="D1043" t="str">
            <v>WP LIVE</v>
          </cell>
          <cell r="E1043">
            <v>41193</v>
          </cell>
          <cell r="F1043" t="str">
            <v>TIER 2</v>
          </cell>
          <cell r="G1043" t="str">
            <v>UNSKILLED</v>
          </cell>
          <cell r="H1043">
            <v>400</v>
          </cell>
          <cell r="I1043">
            <v>40725</v>
          </cell>
        </row>
        <row r="1044">
          <cell r="A1044" t="str">
            <v>SARI BIN MARJANI</v>
          </cell>
          <cell r="B1044" t="str">
            <v>4 0212170-</v>
          </cell>
          <cell r="C1044">
            <v>39513</v>
          </cell>
          <cell r="D1044" t="str">
            <v>WP LIVE</v>
          </cell>
          <cell r="E1044">
            <v>41345</v>
          </cell>
          <cell r="F1044" t="str">
            <v>TIER 2</v>
          </cell>
          <cell r="G1044" t="str">
            <v>UNSKILLED</v>
          </cell>
          <cell r="H1044">
            <v>400</v>
          </cell>
          <cell r="I1044">
            <v>40725</v>
          </cell>
        </row>
        <row r="1045">
          <cell r="A1045" t="str">
            <v>SARIAH BINTI SAHDAN</v>
          </cell>
          <cell r="B1045" t="str">
            <v>4 02017198</v>
          </cell>
          <cell r="C1045">
            <v>39616</v>
          </cell>
          <cell r="D1045" t="str">
            <v>WP LIVE</v>
          </cell>
          <cell r="E1045">
            <v>41340</v>
          </cell>
          <cell r="F1045" t="str">
            <v>TIER 2</v>
          </cell>
          <cell r="G1045" t="str">
            <v>UNSKILLED</v>
          </cell>
          <cell r="H1045">
            <v>400</v>
          </cell>
          <cell r="I1045">
            <v>40725</v>
          </cell>
        </row>
        <row r="1046">
          <cell r="A1046" t="str">
            <v>SARIFAH BINTI SAMAD</v>
          </cell>
          <cell r="B1046" t="str">
            <v>5 22080357</v>
          </cell>
          <cell r="C1046">
            <v>39975</v>
          </cell>
          <cell r="D1046" t="str">
            <v>WP LIVE</v>
          </cell>
          <cell r="E1046">
            <v>41454</v>
          </cell>
          <cell r="F1046" t="str">
            <v>TIER 2</v>
          </cell>
          <cell r="G1046" t="str">
            <v>UNSKILLED</v>
          </cell>
          <cell r="H1046">
            <v>400</v>
          </cell>
          <cell r="I1046">
            <v>40725</v>
          </cell>
        </row>
        <row r="1047">
          <cell r="A1047" t="str">
            <v>SARIMAH BINTI BEDJO</v>
          </cell>
          <cell r="B1047" t="str">
            <v>5 13228287</v>
          </cell>
          <cell r="C1047">
            <v>40331</v>
          </cell>
          <cell r="D1047" t="str">
            <v>WP LIVE</v>
          </cell>
          <cell r="E1047">
            <v>41069</v>
          </cell>
          <cell r="F1047" t="str">
            <v>TIER 2</v>
          </cell>
          <cell r="G1047" t="str">
            <v>UNSKILLED</v>
          </cell>
          <cell r="H1047">
            <v>400</v>
          </cell>
          <cell r="I1047">
            <v>40360</v>
          </cell>
        </row>
        <row r="1048">
          <cell r="A1048" t="str">
            <v>SARINA BINTI ADOL</v>
          </cell>
          <cell r="B1048" t="str">
            <v>4 02706848</v>
          </cell>
          <cell r="C1048">
            <v>40081</v>
          </cell>
          <cell r="D1048" t="str">
            <v>WP LIVE</v>
          </cell>
          <cell r="E1048">
            <v>40822</v>
          </cell>
          <cell r="F1048" t="str">
            <v>TIER 2</v>
          </cell>
          <cell r="G1048" t="str">
            <v>UNSKILLED</v>
          </cell>
          <cell r="H1048">
            <v>400</v>
          </cell>
          <cell r="I1048">
            <v>40725</v>
          </cell>
        </row>
        <row r="1049">
          <cell r="A1049" t="str">
            <v>SARINA DHANALETCHUMY BINTI ABDULLAH @ PONNIAH</v>
          </cell>
          <cell r="B1049" t="str">
            <v>5 18728881</v>
          </cell>
          <cell r="C1049">
            <v>39811</v>
          </cell>
          <cell r="D1049" t="str">
            <v>WP LIVE</v>
          </cell>
          <cell r="E1049">
            <v>41246</v>
          </cell>
          <cell r="F1049" t="str">
            <v>TIER 2</v>
          </cell>
          <cell r="G1049" t="str">
            <v>UNSKILLED</v>
          </cell>
          <cell r="H1049">
            <v>400</v>
          </cell>
          <cell r="I1049">
            <v>39811</v>
          </cell>
        </row>
        <row r="1050">
          <cell r="A1050" t="str">
            <v>SARINAANI BINTI SAAHARI</v>
          </cell>
          <cell r="B1050" t="str">
            <v>5 36051791</v>
          </cell>
          <cell r="C1050">
            <v>40037</v>
          </cell>
          <cell r="D1050" t="str">
            <v>WP LIVE</v>
          </cell>
          <cell r="E1050">
            <v>40789</v>
          </cell>
          <cell r="F1050" t="str">
            <v>TIER 2</v>
          </cell>
          <cell r="G1050" t="str">
            <v>UNSKILLED</v>
          </cell>
          <cell r="H1050">
            <v>400</v>
          </cell>
          <cell r="I1050">
            <v>40725</v>
          </cell>
        </row>
        <row r="1051">
          <cell r="A1051" t="str">
            <v>SAROJA A/P NAGAPPAN</v>
          </cell>
          <cell r="B1051" t="str">
            <v>3 71255435</v>
          </cell>
          <cell r="C1051">
            <v>39149</v>
          </cell>
          <cell r="D1051" t="str">
            <v>WP LIVE</v>
          </cell>
          <cell r="E1051">
            <v>40945</v>
          </cell>
          <cell r="F1051" t="str">
            <v>TIER 2</v>
          </cell>
          <cell r="G1051" t="str">
            <v>UNSKILLED</v>
          </cell>
          <cell r="H1051">
            <v>400</v>
          </cell>
          <cell r="I1051">
            <v>40725</v>
          </cell>
        </row>
        <row r="1052">
          <cell r="A1052" t="str">
            <v>SAROJA A/P VEELU</v>
          </cell>
          <cell r="B1052" t="str">
            <v>3 53258052</v>
          </cell>
          <cell r="C1052">
            <v>39153</v>
          </cell>
          <cell r="D1052" t="str">
            <v>WP LIVE</v>
          </cell>
          <cell r="E1052">
            <v>41362</v>
          </cell>
          <cell r="F1052" t="str">
            <v>TIER 2</v>
          </cell>
          <cell r="G1052" t="str">
            <v>UNSKILLED</v>
          </cell>
          <cell r="H1052">
            <v>400</v>
          </cell>
          <cell r="I1052">
            <v>40725</v>
          </cell>
        </row>
        <row r="1053">
          <cell r="A1053" t="str">
            <v>SAROJANI A/P KRISHNAN</v>
          </cell>
          <cell r="B1053" t="str">
            <v>5 0946135-</v>
          </cell>
          <cell r="C1053">
            <v>40473</v>
          </cell>
          <cell r="D1053" t="str">
            <v>WP LIVE</v>
          </cell>
          <cell r="E1053">
            <v>41223</v>
          </cell>
          <cell r="F1053" t="str">
            <v>TIER 2</v>
          </cell>
          <cell r="G1053" t="str">
            <v>UNSKILLED</v>
          </cell>
          <cell r="H1053">
            <v>400</v>
          </cell>
          <cell r="I1053">
            <v>40473</v>
          </cell>
        </row>
        <row r="1054">
          <cell r="A1054" t="str">
            <v>SAROJINI A/P K MUNANDY</v>
          </cell>
          <cell r="B1054" t="str">
            <v>3 59766513</v>
          </cell>
          <cell r="C1054">
            <v>39122</v>
          </cell>
          <cell r="D1054" t="str">
            <v>WP LIVE</v>
          </cell>
          <cell r="E1054">
            <v>41332</v>
          </cell>
          <cell r="F1054" t="str">
            <v>TIER 2</v>
          </cell>
          <cell r="G1054" t="str">
            <v>UNSKILLED</v>
          </cell>
          <cell r="H1054">
            <v>400</v>
          </cell>
          <cell r="I1054">
            <v>40725</v>
          </cell>
        </row>
        <row r="1055">
          <cell r="A1055" t="str">
            <v>SATHIAVANI A/P VEMBIDY</v>
          </cell>
          <cell r="B1055" t="str">
            <v>5 00369108</v>
          </cell>
          <cell r="C1055">
            <v>40323</v>
          </cell>
          <cell r="D1055" t="str">
            <v>WP LIVE</v>
          </cell>
          <cell r="E1055">
            <v>40994</v>
          </cell>
          <cell r="F1055" t="str">
            <v>TIER 2</v>
          </cell>
          <cell r="G1055" t="str">
            <v>UNSKILLED</v>
          </cell>
          <cell r="H1055">
            <v>400</v>
          </cell>
          <cell r="I1055">
            <v>40360</v>
          </cell>
        </row>
        <row r="1056">
          <cell r="A1056" t="str">
            <v>SAU SOON ANN</v>
          </cell>
          <cell r="B1056" t="str">
            <v>5 11268516</v>
          </cell>
          <cell r="C1056">
            <v>39902</v>
          </cell>
          <cell r="D1056" t="str">
            <v>WP LIVE</v>
          </cell>
          <cell r="E1056">
            <v>41307</v>
          </cell>
          <cell r="F1056" t="str">
            <v>TIER 2</v>
          </cell>
          <cell r="G1056" t="str">
            <v>UNSKILLED</v>
          </cell>
          <cell r="H1056">
            <v>400</v>
          </cell>
          <cell r="I1056">
            <v>40725</v>
          </cell>
        </row>
        <row r="1057">
          <cell r="A1057" t="str">
            <v>SEE GEOK LIAN</v>
          </cell>
          <cell r="B1057" t="str">
            <v>3 48511262</v>
          </cell>
          <cell r="C1057">
            <v>38925</v>
          </cell>
          <cell r="D1057" t="str">
            <v>WP LIVE</v>
          </cell>
          <cell r="E1057">
            <v>41443</v>
          </cell>
          <cell r="F1057" t="str">
            <v>TIER 2</v>
          </cell>
          <cell r="G1057" t="str">
            <v>UNSKILLED</v>
          </cell>
          <cell r="H1057">
            <v>400</v>
          </cell>
          <cell r="I1057">
            <v>40725</v>
          </cell>
        </row>
        <row r="1058">
          <cell r="A1058" t="str">
            <v>SEELA A/P BALAKRISHNAN</v>
          </cell>
          <cell r="B1058" t="str">
            <v>4 03288276</v>
          </cell>
          <cell r="C1058">
            <v>40196</v>
          </cell>
          <cell r="D1058" t="str">
            <v>WP LIVE</v>
          </cell>
          <cell r="E1058">
            <v>40935</v>
          </cell>
          <cell r="F1058" t="str">
            <v>TIER 2</v>
          </cell>
          <cell r="G1058" t="str">
            <v>UNSKILLED</v>
          </cell>
          <cell r="H1058">
            <v>400</v>
          </cell>
          <cell r="I1058">
            <v>40360</v>
          </cell>
        </row>
        <row r="1059">
          <cell r="A1059" t="str">
            <v>SEGADO ANAK BUGEK</v>
          </cell>
          <cell r="B1059" t="str">
            <v>8 94943645</v>
          </cell>
          <cell r="C1059">
            <v>40165</v>
          </cell>
          <cell r="D1059" t="str">
            <v>WP LIVE</v>
          </cell>
          <cell r="E1059">
            <v>40913</v>
          </cell>
          <cell r="F1059" t="str">
            <v>TIER 2</v>
          </cell>
          <cell r="G1059" t="str">
            <v>UNSKILLED</v>
          </cell>
          <cell r="H1059">
            <v>400</v>
          </cell>
          <cell r="I1059">
            <v>40725</v>
          </cell>
        </row>
        <row r="1060">
          <cell r="A1060" t="str">
            <v>SEKARAN A/L GOPALAN</v>
          </cell>
          <cell r="B1060" t="str">
            <v>3 8254871-</v>
          </cell>
          <cell r="C1060">
            <v>39548</v>
          </cell>
          <cell r="D1060" t="str">
            <v>WP LIVE</v>
          </cell>
          <cell r="E1060">
            <v>41033</v>
          </cell>
          <cell r="F1060" t="str">
            <v>TIER 2</v>
          </cell>
          <cell r="G1060" t="str">
            <v>UNSKILLED</v>
          </cell>
          <cell r="H1060">
            <v>400</v>
          </cell>
          <cell r="I1060">
            <v>40725</v>
          </cell>
        </row>
        <row r="1061">
          <cell r="A1061" t="str">
            <v>SELLAMMAL A/P DORAISAMY</v>
          </cell>
          <cell r="B1061" t="str">
            <v>3 60752127</v>
          </cell>
          <cell r="C1061">
            <v>39212</v>
          </cell>
          <cell r="D1061" t="str">
            <v>WP LIVE</v>
          </cell>
          <cell r="E1061">
            <v>41268</v>
          </cell>
          <cell r="F1061" t="str">
            <v>TIER 2</v>
          </cell>
          <cell r="G1061" t="str">
            <v>UNSKILLED</v>
          </cell>
          <cell r="H1061">
            <v>400</v>
          </cell>
          <cell r="I1061">
            <v>40725</v>
          </cell>
        </row>
        <row r="1062">
          <cell r="A1062" t="str">
            <v>SELVASINGAM A/L SELVARAJAH</v>
          </cell>
          <cell r="B1062" t="str">
            <v>3 67560657</v>
          </cell>
          <cell r="C1062">
            <v>40246</v>
          </cell>
          <cell r="D1062" t="str">
            <v>WP LIVE</v>
          </cell>
          <cell r="E1062">
            <v>40989</v>
          </cell>
          <cell r="F1062" t="str">
            <v>TIER 2</v>
          </cell>
          <cell r="G1062" t="str">
            <v>UNSKILLED</v>
          </cell>
          <cell r="H1062">
            <v>400</v>
          </cell>
          <cell r="I1062">
            <v>40725</v>
          </cell>
        </row>
        <row r="1063">
          <cell r="A1063" t="str">
            <v>SELVEE A/P KUTTY KARMA</v>
          </cell>
          <cell r="B1063" t="str">
            <v>3 56383117</v>
          </cell>
          <cell r="C1063">
            <v>39274</v>
          </cell>
          <cell r="D1063" t="str">
            <v>WP LIVE</v>
          </cell>
          <cell r="E1063">
            <v>40748</v>
          </cell>
          <cell r="F1063" t="str">
            <v>TIER 2</v>
          </cell>
          <cell r="G1063" t="str">
            <v>UNSKILLED</v>
          </cell>
          <cell r="H1063">
            <v>400</v>
          </cell>
          <cell r="I1063">
            <v>40725</v>
          </cell>
        </row>
        <row r="1064">
          <cell r="A1064" t="str">
            <v>SELVI A/P KRISHNAN</v>
          </cell>
          <cell r="B1064" t="str">
            <v>5 38395498</v>
          </cell>
          <cell r="C1064">
            <v>39891</v>
          </cell>
          <cell r="D1064" t="str">
            <v>WP LIVE</v>
          </cell>
          <cell r="E1064">
            <v>41370</v>
          </cell>
          <cell r="F1064" t="str">
            <v>TIER 2</v>
          </cell>
          <cell r="G1064" t="str">
            <v>UNSKILLED</v>
          </cell>
          <cell r="H1064">
            <v>400</v>
          </cell>
          <cell r="I1064">
            <v>40725</v>
          </cell>
        </row>
        <row r="1065">
          <cell r="A1065" t="str">
            <v>SELVI A/P NADARAJAH</v>
          </cell>
          <cell r="B1065" t="str">
            <v>3 67557389</v>
          </cell>
          <cell r="C1065">
            <v>40310</v>
          </cell>
          <cell r="D1065" t="str">
            <v>WP LIVE</v>
          </cell>
          <cell r="E1065">
            <v>41060</v>
          </cell>
          <cell r="F1065" t="str">
            <v>TIER 2</v>
          </cell>
          <cell r="G1065" t="str">
            <v>UNSKILLED</v>
          </cell>
          <cell r="H1065">
            <v>400</v>
          </cell>
          <cell r="I1065">
            <v>40310</v>
          </cell>
        </row>
        <row r="1066">
          <cell r="A1066" t="str">
            <v>SETTERAH A/P VEDANAYAGAM</v>
          </cell>
          <cell r="B1066" t="str">
            <v>3 74614568</v>
          </cell>
          <cell r="C1066">
            <v>39664</v>
          </cell>
          <cell r="D1066" t="str">
            <v>WP LIVE</v>
          </cell>
          <cell r="E1066">
            <v>41133</v>
          </cell>
          <cell r="F1066" t="str">
            <v>TIER 2</v>
          </cell>
          <cell r="G1066" t="str">
            <v>UNSKILLED</v>
          </cell>
          <cell r="H1066">
            <v>400</v>
          </cell>
          <cell r="I1066">
            <v>40725</v>
          </cell>
        </row>
        <row r="1067">
          <cell r="A1067" t="str">
            <v>SHA BOQIAN</v>
          </cell>
          <cell r="B1067" t="str">
            <v>0 73449200</v>
          </cell>
          <cell r="C1067">
            <v>39993</v>
          </cell>
          <cell r="D1067" t="str">
            <v>WP LIVE</v>
          </cell>
          <cell r="E1067">
            <v>41454</v>
          </cell>
          <cell r="F1067" t="str">
            <v>TIER 2</v>
          </cell>
          <cell r="G1067" t="str">
            <v>UNSKILLED</v>
          </cell>
          <cell r="H1067">
            <v>400</v>
          </cell>
          <cell r="I1067">
            <v>40725</v>
          </cell>
        </row>
        <row r="1068">
          <cell r="A1068" t="str">
            <v>SHAHRUL BIN YACOB</v>
          </cell>
          <cell r="B1068" t="str">
            <v>4 03569100</v>
          </cell>
          <cell r="C1068">
            <v>40464</v>
          </cell>
          <cell r="D1068" t="str">
            <v>WP LIVE</v>
          </cell>
          <cell r="E1068">
            <v>41163</v>
          </cell>
          <cell r="F1068" t="str">
            <v>TIER 2</v>
          </cell>
          <cell r="G1068" t="str">
            <v>UNSKILLED</v>
          </cell>
          <cell r="H1068">
            <v>400</v>
          </cell>
          <cell r="I1068">
            <v>40725</v>
          </cell>
        </row>
        <row r="1069">
          <cell r="A1069" t="str">
            <v>SHALINI A/P MAHENDRAN</v>
          </cell>
          <cell r="B1069" t="str">
            <v>4 03241563</v>
          </cell>
          <cell r="C1069">
            <v>40129</v>
          </cell>
          <cell r="D1069" t="str">
            <v>WP LIVE</v>
          </cell>
          <cell r="E1069">
            <v>40880</v>
          </cell>
          <cell r="F1069" t="str">
            <v>TIER 2</v>
          </cell>
          <cell r="G1069" t="str">
            <v>UNSKILLED</v>
          </cell>
          <cell r="H1069">
            <v>400</v>
          </cell>
          <cell r="I1069">
            <v>40129</v>
          </cell>
        </row>
        <row r="1070">
          <cell r="A1070" t="str">
            <v>SHANTHI A/P SINNIAH</v>
          </cell>
          <cell r="B1070" t="str">
            <v>5 3636918-</v>
          </cell>
          <cell r="C1070">
            <v>40060</v>
          </cell>
          <cell r="D1070" t="str">
            <v>WP LIVE</v>
          </cell>
          <cell r="E1070">
            <v>40800</v>
          </cell>
          <cell r="F1070" t="str">
            <v>TIER 2</v>
          </cell>
          <cell r="G1070" t="str">
            <v>UNSKILLED</v>
          </cell>
          <cell r="H1070">
            <v>400</v>
          </cell>
          <cell r="I1070">
            <v>40725</v>
          </cell>
        </row>
        <row r="1071">
          <cell r="A1071" t="str">
            <v>SHANTI A/P GANASAN</v>
          </cell>
          <cell r="B1071" t="str">
            <v>5 13410824</v>
          </cell>
          <cell r="C1071">
            <v>40463</v>
          </cell>
          <cell r="D1071" t="str">
            <v>WP LIVE</v>
          </cell>
          <cell r="E1071">
            <v>41101</v>
          </cell>
          <cell r="F1071" t="str">
            <v>TIER 2</v>
          </cell>
          <cell r="G1071" t="str">
            <v>UNSKILLED</v>
          </cell>
          <cell r="H1071">
            <v>400</v>
          </cell>
          <cell r="I1071">
            <v>40463</v>
          </cell>
        </row>
        <row r="1072">
          <cell r="A1072" t="str">
            <v>SHAO WEI BING</v>
          </cell>
          <cell r="B1072" t="str">
            <v>0 73817471</v>
          </cell>
          <cell r="C1072">
            <v>40281</v>
          </cell>
          <cell r="D1072" t="str">
            <v>WP LIVE</v>
          </cell>
          <cell r="E1072">
            <v>41013</v>
          </cell>
          <cell r="F1072" t="str">
            <v>TIER 2</v>
          </cell>
          <cell r="G1072" t="str">
            <v>UNSKILLED</v>
          </cell>
          <cell r="H1072">
            <v>400</v>
          </cell>
          <cell r="I1072">
            <v>40360</v>
          </cell>
        </row>
        <row r="1073">
          <cell r="A1073" t="str">
            <v>SHARIFAH HASLIZA BINTI SYED MOHD ZAINI</v>
          </cell>
          <cell r="B1073" t="str">
            <v>5 3596405-</v>
          </cell>
          <cell r="C1073">
            <v>40339</v>
          </cell>
          <cell r="D1073" t="str">
            <v>WP LIVE</v>
          </cell>
          <cell r="E1073">
            <v>41020</v>
          </cell>
          <cell r="F1073" t="str">
            <v>TIER 2</v>
          </cell>
          <cell r="G1073" t="str">
            <v>UNSKILLED</v>
          </cell>
          <cell r="H1073">
            <v>400</v>
          </cell>
          <cell r="I1073">
            <v>40360</v>
          </cell>
        </row>
        <row r="1074">
          <cell r="A1074" t="str">
            <v>SHEN DONGYAN</v>
          </cell>
          <cell r="B1074" t="str">
            <v>0 73520126</v>
          </cell>
          <cell r="C1074">
            <v>40060</v>
          </cell>
          <cell r="D1074" t="str">
            <v>WP LIVE</v>
          </cell>
          <cell r="E1074">
            <v>40795</v>
          </cell>
          <cell r="F1074" t="str">
            <v>TIER 2</v>
          </cell>
          <cell r="G1074" t="str">
            <v>UNSKILLED</v>
          </cell>
          <cell r="H1074">
            <v>400</v>
          </cell>
          <cell r="I1074">
            <v>40725</v>
          </cell>
        </row>
        <row r="1075">
          <cell r="A1075" t="str">
            <v>SHEN LIYA</v>
          </cell>
          <cell r="B1075" t="str">
            <v>0 73997380</v>
          </cell>
          <cell r="C1075">
            <v>40379</v>
          </cell>
          <cell r="D1075" t="str">
            <v>WP LIVE</v>
          </cell>
          <cell r="E1075">
            <v>41115</v>
          </cell>
          <cell r="F1075" t="str">
            <v>TIER 2</v>
          </cell>
          <cell r="G1075" t="str">
            <v>UNSKILLED</v>
          </cell>
          <cell r="H1075">
            <v>400</v>
          </cell>
          <cell r="I1075">
            <v>40725</v>
          </cell>
        </row>
        <row r="1076">
          <cell r="A1076" t="str">
            <v>SHEN XIAOYAN</v>
          </cell>
          <cell r="B1076" t="str">
            <v>0 7380535-</v>
          </cell>
          <cell r="C1076">
            <v>40274</v>
          </cell>
          <cell r="D1076" t="str">
            <v>WP LIVE</v>
          </cell>
          <cell r="E1076">
            <v>41005</v>
          </cell>
          <cell r="F1076" t="str">
            <v>TIER 2</v>
          </cell>
          <cell r="G1076" t="str">
            <v>UNSKILLED</v>
          </cell>
          <cell r="H1076">
            <v>400</v>
          </cell>
          <cell r="I1076">
            <v>40360</v>
          </cell>
        </row>
        <row r="1077">
          <cell r="A1077" t="str">
            <v>SHETA A/P RAMASAMY</v>
          </cell>
          <cell r="B1077" t="str">
            <v>4 03518158</v>
          </cell>
          <cell r="C1077">
            <v>40402</v>
          </cell>
          <cell r="D1077" t="str">
            <v>WP LIVE</v>
          </cell>
          <cell r="E1077">
            <v>41154</v>
          </cell>
          <cell r="F1077" t="str">
            <v>TIER 2</v>
          </cell>
          <cell r="G1077" t="str">
            <v>UNSKILLED</v>
          </cell>
          <cell r="H1077">
            <v>400</v>
          </cell>
          <cell r="I1077">
            <v>40402</v>
          </cell>
        </row>
        <row r="1078">
          <cell r="A1078" t="str">
            <v>SHITA A/P KRISHNAMOORTHY</v>
          </cell>
          <cell r="B1078" t="str">
            <v>4 00889376</v>
          </cell>
          <cell r="C1078">
            <v>40303</v>
          </cell>
          <cell r="D1078" t="str">
            <v>WP LIVE</v>
          </cell>
          <cell r="E1078">
            <v>41041</v>
          </cell>
          <cell r="F1078" t="str">
            <v>TIER 2</v>
          </cell>
          <cell r="G1078" t="str">
            <v>UNSKILLED</v>
          </cell>
          <cell r="H1078">
            <v>400</v>
          </cell>
          <cell r="I1078">
            <v>40360</v>
          </cell>
        </row>
        <row r="1079">
          <cell r="A1079" t="str">
            <v>SHITA A/P PERUMALL</v>
          </cell>
          <cell r="B1079" t="str">
            <v>5 05240545</v>
          </cell>
          <cell r="C1079">
            <v>38828</v>
          </cell>
          <cell r="D1079" t="str">
            <v>WP LIVE</v>
          </cell>
          <cell r="E1079">
            <v>41345</v>
          </cell>
          <cell r="F1079" t="str">
            <v>TIER 2</v>
          </cell>
          <cell r="G1079" t="str">
            <v>UNSKILLED</v>
          </cell>
          <cell r="H1079">
            <v>400</v>
          </cell>
          <cell r="I1079">
            <v>40725</v>
          </cell>
        </row>
        <row r="1080">
          <cell r="A1080" t="str">
            <v>SIHAMANY A/P PONNUSAMY</v>
          </cell>
          <cell r="B1080" t="str">
            <v>3 62948010</v>
          </cell>
          <cell r="C1080">
            <v>39128</v>
          </cell>
          <cell r="D1080" t="str">
            <v>WP LIVE</v>
          </cell>
          <cell r="E1080">
            <v>41345</v>
          </cell>
          <cell r="F1080" t="str">
            <v>TIER 2</v>
          </cell>
          <cell r="G1080" t="str">
            <v>UNSKILLED</v>
          </cell>
          <cell r="H1080">
            <v>400</v>
          </cell>
          <cell r="I1080">
            <v>40725</v>
          </cell>
        </row>
        <row r="1081">
          <cell r="A1081" t="str">
            <v>SILVARANI A/P PALANVALOO</v>
          </cell>
          <cell r="B1081" t="str">
            <v>3 72290536</v>
          </cell>
          <cell r="C1081">
            <v>39645</v>
          </cell>
          <cell r="D1081" t="str">
            <v>WP LIVE</v>
          </cell>
          <cell r="E1081">
            <v>41114</v>
          </cell>
          <cell r="F1081" t="str">
            <v>TIER 2</v>
          </cell>
          <cell r="G1081" t="str">
            <v>UNSKILLED</v>
          </cell>
          <cell r="H1081">
            <v>400</v>
          </cell>
          <cell r="I1081">
            <v>40725</v>
          </cell>
        </row>
        <row r="1082">
          <cell r="A1082" t="str">
            <v>SIM CHO LIM</v>
          </cell>
          <cell r="B1082" t="str">
            <v>8 05844450</v>
          </cell>
          <cell r="C1082">
            <v>39751</v>
          </cell>
          <cell r="D1082" t="str">
            <v>WP LIVE</v>
          </cell>
          <cell r="E1082">
            <v>41230</v>
          </cell>
          <cell r="F1082" t="str">
            <v>TIER 2</v>
          </cell>
          <cell r="G1082" t="str">
            <v>UNSKILLED</v>
          </cell>
          <cell r="H1082">
            <v>400</v>
          </cell>
          <cell r="I1082">
            <v>40725</v>
          </cell>
        </row>
        <row r="1083">
          <cell r="A1083" t="str">
            <v>SIN TIN YEW</v>
          </cell>
          <cell r="B1083" t="str">
            <v>3 4870303-</v>
          </cell>
          <cell r="C1083">
            <v>40157</v>
          </cell>
          <cell r="D1083" t="str">
            <v>WP LIVE</v>
          </cell>
          <cell r="E1083">
            <v>40904</v>
          </cell>
          <cell r="F1083" t="str">
            <v>TIER 2</v>
          </cell>
          <cell r="G1083" t="str">
            <v>UNSKILLED</v>
          </cell>
          <cell r="H1083">
            <v>400</v>
          </cell>
          <cell r="I1083">
            <v>40157</v>
          </cell>
        </row>
        <row r="1084">
          <cell r="A1084" t="str">
            <v>SINNAMMAH A/P MUTHUSAMY</v>
          </cell>
          <cell r="B1084" t="str">
            <v>3 51516887</v>
          </cell>
          <cell r="C1084">
            <v>40456</v>
          </cell>
          <cell r="D1084" t="str">
            <v>WP LIVE</v>
          </cell>
          <cell r="E1084">
            <v>41206</v>
          </cell>
          <cell r="F1084" t="str">
            <v>TIER 2</v>
          </cell>
          <cell r="G1084" t="str">
            <v>UNSKILLED</v>
          </cell>
          <cell r="H1084">
            <v>400</v>
          </cell>
          <cell r="I1084">
            <v>40456</v>
          </cell>
        </row>
        <row r="1085">
          <cell r="A1085" t="str">
            <v>SITHA DEVI A/P APPALANAIDOO</v>
          </cell>
          <cell r="B1085" t="str">
            <v>4 00920044</v>
          </cell>
          <cell r="C1085">
            <v>38534</v>
          </cell>
          <cell r="D1085" t="str">
            <v>WP LIVE</v>
          </cell>
          <cell r="E1085">
            <v>40739</v>
          </cell>
          <cell r="F1085" t="str">
            <v>TIER 2</v>
          </cell>
          <cell r="G1085" t="str">
            <v>UNSKILLED</v>
          </cell>
          <cell r="H1085">
            <v>400</v>
          </cell>
          <cell r="I1085">
            <v>40725</v>
          </cell>
        </row>
        <row r="1086">
          <cell r="A1086" t="str">
            <v>SITI RAHMAH BINTI UDONG</v>
          </cell>
          <cell r="B1086" t="str">
            <v>5 10243994</v>
          </cell>
          <cell r="C1086">
            <v>40198</v>
          </cell>
          <cell r="D1086" t="str">
            <v>WP LIVE</v>
          </cell>
          <cell r="E1086">
            <v>40942</v>
          </cell>
          <cell r="F1086" t="str">
            <v>TIER 2</v>
          </cell>
          <cell r="G1086" t="str">
            <v>UNSKILLED</v>
          </cell>
          <cell r="H1086">
            <v>400</v>
          </cell>
          <cell r="I1086">
            <v>40360</v>
          </cell>
        </row>
        <row r="1087">
          <cell r="A1087" t="str">
            <v>SITI ZUBAIDAH BINTI MUSTAPHA</v>
          </cell>
          <cell r="B1087" t="str">
            <v>5 24113902</v>
          </cell>
          <cell r="C1087">
            <v>40227</v>
          </cell>
          <cell r="D1087" t="str">
            <v>WP LIVE</v>
          </cell>
          <cell r="E1087">
            <v>40962</v>
          </cell>
          <cell r="F1087" t="str">
            <v>TIER 2</v>
          </cell>
          <cell r="G1087" t="str">
            <v>UNSKILLED</v>
          </cell>
          <cell r="H1087">
            <v>400</v>
          </cell>
          <cell r="I1087">
            <v>40725</v>
          </cell>
        </row>
        <row r="1088">
          <cell r="A1088" t="str">
            <v>SIVA KUMAR A/L MUNUSAMY</v>
          </cell>
          <cell r="B1088" t="str">
            <v>4 02234946</v>
          </cell>
          <cell r="C1088">
            <v>39694</v>
          </cell>
          <cell r="D1088" t="str">
            <v>WP LIVE</v>
          </cell>
          <cell r="E1088">
            <v>41169</v>
          </cell>
          <cell r="F1088" t="str">
            <v>TIER 2</v>
          </cell>
          <cell r="G1088" t="str">
            <v>UNSKILLED</v>
          </cell>
          <cell r="H1088">
            <v>400</v>
          </cell>
          <cell r="I1088">
            <v>40725</v>
          </cell>
        </row>
        <row r="1089">
          <cell r="A1089" t="str">
            <v>SIVA SANGKAR A/L SUBRAMANIAM</v>
          </cell>
          <cell r="B1089" t="str">
            <v>4 03445568</v>
          </cell>
          <cell r="C1089">
            <v>40331</v>
          </cell>
          <cell r="D1089" t="str">
            <v>WP LIVE</v>
          </cell>
          <cell r="E1089">
            <v>41075</v>
          </cell>
          <cell r="F1089" t="str">
            <v>TIER 2</v>
          </cell>
          <cell r="G1089" t="str">
            <v>UNSKILLED</v>
          </cell>
          <cell r="H1089">
            <v>400</v>
          </cell>
          <cell r="I1089">
            <v>40360</v>
          </cell>
        </row>
        <row r="1090">
          <cell r="A1090" t="str">
            <v>SIVAKUMARAN A/L M MUNUSAMY</v>
          </cell>
          <cell r="B1090" t="str">
            <v>3 60895335</v>
          </cell>
          <cell r="C1090">
            <v>40063</v>
          </cell>
          <cell r="D1090" t="str">
            <v>WP LIVE</v>
          </cell>
          <cell r="E1090">
            <v>40814</v>
          </cell>
          <cell r="F1090" t="str">
            <v>TIER 2</v>
          </cell>
          <cell r="G1090" t="str">
            <v>UNSKILLED</v>
          </cell>
          <cell r="H1090">
            <v>400</v>
          </cell>
          <cell r="I1090">
            <v>40725</v>
          </cell>
        </row>
        <row r="1091">
          <cell r="A1091" t="str">
            <v>SOH KIM KIAT</v>
          </cell>
          <cell r="B1091" t="str">
            <v>5 04506525</v>
          </cell>
          <cell r="C1091">
            <v>39902</v>
          </cell>
          <cell r="D1091" t="str">
            <v>WP LIVE</v>
          </cell>
          <cell r="E1091">
            <v>41295</v>
          </cell>
          <cell r="F1091" t="str">
            <v>TIER 2</v>
          </cell>
          <cell r="G1091" t="str">
            <v>UNSKILLED</v>
          </cell>
          <cell r="H1091">
            <v>400</v>
          </cell>
          <cell r="I1091">
            <v>40725</v>
          </cell>
        </row>
        <row r="1092">
          <cell r="A1092" t="str">
            <v>SONG CUI LIN</v>
          </cell>
          <cell r="B1092" t="str">
            <v>0 74074383</v>
          </cell>
          <cell r="C1092">
            <v>40429</v>
          </cell>
          <cell r="D1092" t="str">
            <v>WP LIVE</v>
          </cell>
          <cell r="E1092">
            <v>41167</v>
          </cell>
          <cell r="F1092" t="str">
            <v>TIER 2</v>
          </cell>
          <cell r="G1092" t="str">
            <v>UNSKILLED</v>
          </cell>
          <cell r="H1092">
            <v>400</v>
          </cell>
          <cell r="I1092">
            <v>40429</v>
          </cell>
        </row>
        <row r="1093">
          <cell r="A1093" t="str">
            <v>SONG XIN ZHE</v>
          </cell>
          <cell r="B1093" t="str">
            <v>0 74123805</v>
          </cell>
          <cell r="C1093">
            <v>40462</v>
          </cell>
          <cell r="D1093" t="str">
            <v>WP LIVE</v>
          </cell>
          <cell r="E1093">
            <v>41193</v>
          </cell>
          <cell r="F1093" t="str">
            <v>TIER 2</v>
          </cell>
          <cell r="G1093" t="str">
            <v>UNSKILLED</v>
          </cell>
          <cell r="H1093">
            <v>400</v>
          </cell>
          <cell r="I1093">
            <v>40725</v>
          </cell>
        </row>
        <row r="1094">
          <cell r="A1094" t="str">
            <v>SUANA BINTI TUKIMON</v>
          </cell>
          <cell r="B1094" t="str">
            <v>5 16390999</v>
          </cell>
          <cell r="C1094">
            <v>40462</v>
          </cell>
          <cell r="D1094" t="str">
            <v>WP LIVE</v>
          </cell>
          <cell r="E1094">
            <v>40984</v>
          </cell>
          <cell r="F1094" t="str">
            <v>TIER 2</v>
          </cell>
          <cell r="G1094" t="str">
            <v>UNSKILLED</v>
          </cell>
          <cell r="H1094">
            <v>400</v>
          </cell>
          <cell r="I1094">
            <v>40462</v>
          </cell>
        </row>
        <row r="1095">
          <cell r="A1095" t="str">
            <v>SUBRAMANIAM A/L MUNUSAMY</v>
          </cell>
          <cell r="B1095" t="str">
            <v>5 10436474</v>
          </cell>
          <cell r="C1095">
            <v>40492</v>
          </cell>
          <cell r="D1095" t="str">
            <v>WP LIVE</v>
          </cell>
          <cell r="E1095">
            <v>41235</v>
          </cell>
          <cell r="F1095" t="str">
            <v>TIER 2</v>
          </cell>
          <cell r="G1095" t="str">
            <v>UNSKILLED</v>
          </cell>
          <cell r="H1095">
            <v>400</v>
          </cell>
          <cell r="I1095">
            <v>40725</v>
          </cell>
        </row>
        <row r="1096">
          <cell r="A1096" t="str">
            <v>SUBRAMANIAM A/L SUNDARARAJO</v>
          </cell>
          <cell r="B1096" t="str">
            <v>3 70878706</v>
          </cell>
          <cell r="C1096">
            <v>39454</v>
          </cell>
          <cell r="D1096" t="str">
            <v>WP LIVE</v>
          </cell>
          <cell r="E1096">
            <v>40929</v>
          </cell>
          <cell r="F1096" t="str">
            <v>TIER 2</v>
          </cell>
          <cell r="G1096" t="str">
            <v>UNSKILLED</v>
          </cell>
          <cell r="H1096">
            <v>400</v>
          </cell>
          <cell r="I1096">
            <v>40725</v>
          </cell>
        </row>
        <row r="1097">
          <cell r="A1097" t="str">
            <v>SUCILAH A/P KANNE</v>
          </cell>
          <cell r="B1097" t="str">
            <v>3 7006329-</v>
          </cell>
          <cell r="C1097">
            <v>40347</v>
          </cell>
          <cell r="D1097" t="str">
            <v>WP LIVE</v>
          </cell>
          <cell r="E1097">
            <v>40972</v>
          </cell>
          <cell r="F1097" t="str">
            <v>TIER 2</v>
          </cell>
          <cell r="G1097" t="str">
            <v>UNSKILLED</v>
          </cell>
          <cell r="H1097">
            <v>400</v>
          </cell>
          <cell r="I1097">
            <v>40347</v>
          </cell>
        </row>
        <row r="1098">
          <cell r="A1098" t="str">
            <v>SUGAMY A/P NAGAPPAN</v>
          </cell>
          <cell r="B1098" t="str">
            <v>5 0040759-</v>
          </cell>
          <cell r="C1098">
            <v>40368</v>
          </cell>
          <cell r="D1098" t="str">
            <v>WP LIVE</v>
          </cell>
          <cell r="E1098">
            <v>40860</v>
          </cell>
          <cell r="F1098" t="str">
            <v>TIER 2</v>
          </cell>
          <cell r="G1098" t="str">
            <v>UNSKILLED</v>
          </cell>
          <cell r="H1098">
            <v>400</v>
          </cell>
          <cell r="I1098">
            <v>40368</v>
          </cell>
        </row>
        <row r="1099">
          <cell r="A1099" t="str">
            <v>SUMATHI A/P G KRISHNASAMY</v>
          </cell>
          <cell r="B1099" t="str">
            <v>4 01959378</v>
          </cell>
          <cell r="C1099">
            <v>38596</v>
          </cell>
          <cell r="D1099" t="str">
            <v>WP LIVE</v>
          </cell>
          <cell r="E1099">
            <v>41114</v>
          </cell>
          <cell r="F1099" t="str">
            <v>TIER 2</v>
          </cell>
          <cell r="G1099" t="str">
            <v>UNSKILLED</v>
          </cell>
          <cell r="H1099">
            <v>400</v>
          </cell>
          <cell r="I1099">
            <v>40725</v>
          </cell>
        </row>
        <row r="1100">
          <cell r="A1100" t="str">
            <v>SUMTHI A/P MATCHIMUTHOO</v>
          </cell>
          <cell r="B1100" t="str">
            <v>5 14805873</v>
          </cell>
          <cell r="C1100">
            <v>39293</v>
          </cell>
          <cell r="D1100" t="str">
            <v>WP LIVE</v>
          </cell>
          <cell r="E1100">
            <v>40770</v>
          </cell>
          <cell r="F1100" t="str">
            <v>TIER 2</v>
          </cell>
          <cell r="G1100" t="str">
            <v>UNSKILLED</v>
          </cell>
          <cell r="H1100">
            <v>400</v>
          </cell>
          <cell r="I1100">
            <v>40725</v>
          </cell>
        </row>
        <row r="1101">
          <cell r="A1101" t="str">
            <v>SUN AI HUA</v>
          </cell>
          <cell r="B1101" t="str">
            <v>0 74099939</v>
          </cell>
          <cell r="C1101">
            <v>40450</v>
          </cell>
          <cell r="D1101" t="str">
            <v>WP LIVE</v>
          </cell>
          <cell r="E1101">
            <v>41182</v>
          </cell>
          <cell r="F1101" t="str">
            <v>TIER 2</v>
          </cell>
          <cell r="G1101" t="str">
            <v>UNSKILLED</v>
          </cell>
          <cell r="H1101">
            <v>400</v>
          </cell>
          <cell r="I1101">
            <v>40725</v>
          </cell>
        </row>
        <row r="1102">
          <cell r="A1102" t="str">
            <v>SUNIAH BINTI ABDUL HUSSIN</v>
          </cell>
          <cell r="B1102" t="str">
            <v>4 02192771</v>
          </cell>
          <cell r="C1102">
            <v>40246</v>
          </cell>
          <cell r="D1102" t="str">
            <v>WP LIVE</v>
          </cell>
          <cell r="E1102">
            <v>41406</v>
          </cell>
          <cell r="F1102" t="str">
            <v>TIER 2</v>
          </cell>
          <cell r="G1102" t="str">
            <v>UNSKILLED</v>
          </cell>
          <cell r="H1102">
            <v>400</v>
          </cell>
          <cell r="I1102">
            <v>40246</v>
          </cell>
        </row>
        <row r="1103">
          <cell r="A1103" t="str">
            <v>SUNTHARI A/P MUNIANDY</v>
          </cell>
          <cell r="B1103" t="str">
            <v>4 01742565</v>
          </cell>
          <cell r="C1103">
            <v>39706</v>
          </cell>
          <cell r="D1103" t="str">
            <v>WP LIVE</v>
          </cell>
          <cell r="E1103">
            <v>41187</v>
          </cell>
          <cell r="F1103" t="str">
            <v>TIER 2</v>
          </cell>
          <cell r="G1103" t="str">
            <v>UNSKILLED</v>
          </cell>
          <cell r="H1103">
            <v>400</v>
          </cell>
          <cell r="I1103">
            <v>40725</v>
          </cell>
        </row>
        <row r="1104">
          <cell r="A1104" t="str">
            <v>SUPPULETCHIMI A/P TANNIMALAY</v>
          </cell>
          <cell r="B1104" t="str">
            <v>4 03344826</v>
          </cell>
          <cell r="C1104">
            <v>40400</v>
          </cell>
          <cell r="D1104" t="str">
            <v>WP LIVE</v>
          </cell>
          <cell r="E1104">
            <v>40953</v>
          </cell>
          <cell r="F1104" t="str">
            <v>TIER 2</v>
          </cell>
          <cell r="G1104" t="str">
            <v>UNSKILLED</v>
          </cell>
          <cell r="H1104">
            <v>400</v>
          </cell>
          <cell r="I1104">
            <v>40725</v>
          </cell>
        </row>
        <row r="1105">
          <cell r="A1105" t="str">
            <v>SURESH A/L SUPPIAH</v>
          </cell>
          <cell r="B1105" t="str">
            <v>4 03596817</v>
          </cell>
          <cell r="C1105">
            <v>40504</v>
          </cell>
          <cell r="D1105" t="str">
            <v>WP LIVE</v>
          </cell>
          <cell r="E1105">
            <v>41249</v>
          </cell>
          <cell r="F1105" t="str">
            <v>TIER 2</v>
          </cell>
          <cell r="G1105" t="str">
            <v>UNSKILLED</v>
          </cell>
          <cell r="H1105">
            <v>400</v>
          </cell>
          <cell r="I1105">
            <v>40725</v>
          </cell>
        </row>
        <row r="1106">
          <cell r="A1106" t="str">
            <v>SURIAKUMARI A/P MARATHIAH</v>
          </cell>
          <cell r="B1106" t="str">
            <v>3 55030857</v>
          </cell>
          <cell r="C1106">
            <v>40165</v>
          </cell>
          <cell r="D1106" t="str">
            <v>WP LIVE</v>
          </cell>
          <cell r="E1106">
            <v>41337</v>
          </cell>
          <cell r="F1106" t="str">
            <v>TIER 2</v>
          </cell>
          <cell r="G1106" t="str">
            <v>UNSKILLED</v>
          </cell>
          <cell r="H1106">
            <v>400</v>
          </cell>
          <cell r="I1106">
            <v>40725</v>
          </cell>
        </row>
        <row r="1107">
          <cell r="A1107" t="str">
            <v>SUSEELA A/P KUPPAN</v>
          </cell>
          <cell r="B1107" t="str">
            <v>3 51376791</v>
          </cell>
          <cell r="C1107">
            <v>40184</v>
          </cell>
          <cell r="D1107" t="str">
            <v>WP LIVE</v>
          </cell>
          <cell r="E1107">
            <v>40877</v>
          </cell>
          <cell r="F1107" t="str">
            <v>TIER 2</v>
          </cell>
          <cell r="G1107" t="str">
            <v>UNSKILLED</v>
          </cell>
          <cell r="H1107">
            <v>400</v>
          </cell>
          <cell r="I1107">
            <v>40184</v>
          </cell>
        </row>
        <row r="1108">
          <cell r="A1108" t="str">
            <v>SUTHA A/P SUBRAMANIAM</v>
          </cell>
          <cell r="B1108" t="str">
            <v>4 02768010</v>
          </cell>
          <cell r="C1108">
            <v>40148</v>
          </cell>
          <cell r="D1108" t="str">
            <v>WP LIVE</v>
          </cell>
          <cell r="E1108">
            <v>40900</v>
          </cell>
          <cell r="F1108" t="str">
            <v>TIER 2</v>
          </cell>
          <cell r="G1108" t="str">
            <v>UNSKILLED</v>
          </cell>
          <cell r="H1108">
            <v>400</v>
          </cell>
          <cell r="I1108">
            <v>40148</v>
          </cell>
        </row>
        <row r="1109">
          <cell r="A1109" t="str">
            <v>SUZANA SUSAN A/P WILLIAM</v>
          </cell>
          <cell r="B1109" t="str">
            <v>4 03577367</v>
          </cell>
          <cell r="C1109">
            <v>40476</v>
          </cell>
          <cell r="D1109" t="str">
            <v>WP LIVE</v>
          </cell>
          <cell r="E1109">
            <v>41142</v>
          </cell>
          <cell r="F1109" t="str">
            <v>TIER 2</v>
          </cell>
          <cell r="G1109" t="str">
            <v>UNSKILLED</v>
          </cell>
          <cell r="H1109">
            <v>400</v>
          </cell>
          <cell r="I1109">
            <v>40476</v>
          </cell>
        </row>
        <row r="1110">
          <cell r="A1110" t="str">
            <v>T MEENAKUMARI A/P THANGA RAJOO</v>
          </cell>
          <cell r="B1110" t="str">
            <v>5 02676946</v>
          </cell>
          <cell r="C1110">
            <v>39400</v>
          </cell>
          <cell r="D1110" t="str">
            <v>WP LIVE</v>
          </cell>
          <cell r="E1110">
            <v>40880</v>
          </cell>
          <cell r="F1110" t="str">
            <v>TIER 2</v>
          </cell>
          <cell r="G1110" t="str">
            <v>UNSKILLED</v>
          </cell>
          <cell r="H1110">
            <v>400</v>
          </cell>
          <cell r="I1110">
            <v>40725</v>
          </cell>
        </row>
        <row r="1111">
          <cell r="A1111" t="str">
            <v>TAMILARASAN A/L ANDY</v>
          </cell>
          <cell r="B1111" t="str">
            <v>4 01367160</v>
          </cell>
          <cell r="C1111">
            <v>39987</v>
          </cell>
          <cell r="D1111" t="str">
            <v>WP LIVE</v>
          </cell>
          <cell r="E1111">
            <v>41339</v>
          </cell>
          <cell r="F1111" t="str">
            <v>TIER 2</v>
          </cell>
          <cell r="G1111" t="str">
            <v>UNSKILLED</v>
          </cell>
          <cell r="H1111">
            <v>400</v>
          </cell>
          <cell r="I1111">
            <v>40725</v>
          </cell>
        </row>
        <row r="1112">
          <cell r="A1112" t="str">
            <v>TAMILARASAN A/L GOVINDASAMY</v>
          </cell>
          <cell r="B1112" t="str">
            <v>4 00501432</v>
          </cell>
          <cell r="C1112">
            <v>40725</v>
          </cell>
          <cell r="D1112" t="str">
            <v>WP APPROVED</v>
          </cell>
          <cell r="F1112" t="str">
            <v>TIER 2</v>
          </cell>
          <cell r="G1112" t="str">
            <v>UNSKILLED</v>
          </cell>
          <cell r="H1112">
            <v>400</v>
          </cell>
          <cell r="I1112">
            <v>40725</v>
          </cell>
        </row>
        <row r="1113">
          <cell r="A1113" t="str">
            <v>TAMILCHELVAM A/L SUBRAMANIAM</v>
          </cell>
          <cell r="B1113" t="str">
            <v>5 14102147</v>
          </cell>
          <cell r="C1113">
            <v>39080</v>
          </cell>
          <cell r="D1113" t="str">
            <v>WP LIVE</v>
          </cell>
          <cell r="E1113">
            <v>41296</v>
          </cell>
          <cell r="F1113" t="str">
            <v>TIER 2</v>
          </cell>
          <cell r="G1113" t="str">
            <v>UNSKILLED</v>
          </cell>
          <cell r="H1113">
            <v>400</v>
          </cell>
          <cell r="I1113">
            <v>40725</v>
          </cell>
        </row>
        <row r="1114">
          <cell r="A1114" t="str">
            <v>TAN MENG CHOO</v>
          </cell>
          <cell r="B1114" t="str">
            <v>3 41181976</v>
          </cell>
          <cell r="C1114">
            <v>39720</v>
          </cell>
          <cell r="D1114" t="str">
            <v>WP LIVE</v>
          </cell>
          <cell r="E1114">
            <v>40863</v>
          </cell>
          <cell r="F1114" t="str">
            <v>TIER 2</v>
          </cell>
          <cell r="G1114" t="str">
            <v>UNSKILLED</v>
          </cell>
          <cell r="H1114">
            <v>400</v>
          </cell>
          <cell r="I1114">
            <v>40483</v>
          </cell>
        </row>
        <row r="1115">
          <cell r="A1115" t="str">
            <v>TAN SWEE TENG</v>
          </cell>
          <cell r="B1115" t="str">
            <v>5 06931843</v>
          </cell>
          <cell r="C1115">
            <v>40490</v>
          </cell>
          <cell r="D1115" t="str">
            <v>WP LIVE</v>
          </cell>
          <cell r="E1115">
            <v>41231</v>
          </cell>
          <cell r="F1115" t="str">
            <v>TIER 2</v>
          </cell>
          <cell r="G1115" t="str">
            <v>UNSKILLED</v>
          </cell>
          <cell r="H1115">
            <v>400</v>
          </cell>
          <cell r="I1115">
            <v>40725</v>
          </cell>
        </row>
        <row r="1116">
          <cell r="A1116" t="str">
            <v>TANAM A/P NADARAJAN</v>
          </cell>
          <cell r="B1116" t="str">
            <v>4 02690739</v>
          </cell>
          <cell r="C1116">
            <v>40126</v>
          </cell>
          <cell r="D1116" t="str">
            <v>WP LIVE</v>
          </cell>
          <cell r="E1116">
            <v>41333</v>
          </cell>
          <cell r="F1116" t="str">
            <v>TIER 2</v>
          </cell>
          <cell r="G1116" t="str">
            <v>UNSKILLED</v>
          </cell>
          <cell r="H1116">
            <v>400</v>
          </cell>
          <cell r="I1116">
            <v>40725</v>
          </cell>
        </row>
        <row r="1117">
          <cell r="A1117" t="str">
            <v>TANG JUAN</v>
          </cell>
          <cell r="B1117" t="str">
            <v>0 73758297</v>
          </cell>
          <cell r="C1117">
            <v>40249</v>
          </cell>
          <cell r="D1117" t="str">
            <v>WP LIVE</v>
          </cell>
          <cell r="E1117">
            <v>40989</v>
          </cell>
          <cell r="F1117" t="str">
            <v>TIER 2</v>
          </cell>
          <cell r="G1117" t="str">
            <v>UNSKILLED</v>
          </cell>
          <cell r="H1117">
            <v>400</v>
          </cell>
          <cell r="I1117">
            <v>40249</v>
          </cell>
        </row>
        <row r="1118">
          <cell r="A1118" t="str">
            <v>TAY BOON SNUA</v>
          </cell>
          <cell r="B1118" t="str">
            <v>3 57413699</v>
          </cell>
          <cell r="C1118">
            <v>39245</v>
          </cell>
          <cell r="D1118" t="str">
            <v>WP LIVE</v>
          </cell>
          <cell r="E1118">
            <v>40734</v>
          </cell>
          <cell r="F1118" t="str">
            <v>TIER 2</v>
          </cell>
          <cell r="G1118" t="str">
            <v>UNSKILLED</v>
          </cell>
          <cell r="H1118">
            <v>400</v>
          </cell>
          <cell r="I1118">
            <v>40725</v>
          </cell>
        </row>
        <row r="1119">
          <cell r="A1119" t="str">
            <v>TAY CHOON ENG</v>
          </cell>
          <cell r="B1119" t="str">
            <v>5 19801043</v>
          </cell>
          <cell r="C1119">
            <v>39903</v>
          </cell>
          <cell r="D1119" t="str">
            <v>WP LIVE</v>
          </cell>
          <cell r="E1119">
            <v>41314</v>
          </cell>
          <cell r="F1119" t="str">
            <v>TIER 2</v>
          </cell>
          <cell r="G1119" t="str">
            <v>UNSKILLED</v>
          </cell>
          <cell r="H1119">
            <v>400</v>
          </cell>
          <cell r="I1119">
            <v>40725</v>
          </cell>
        </row>
        <row r="1120">
          <cell r="A1120" t="str">
            <v>TELAKAVATHI A/P R ARUMUGAM</v>
          </cell>
          <cell r="B1120" t="str">
            <v>5 35857873</v>
          </cell>
          <cell r="C1120">
            <v>40462</v>
          </cell>
          <cell r="D1120" t="str">
            <v>WP LIVE</v>
          </cell>
          <cell r="E1120">
            <v>41103</v>
          </cell>
          <cell r="F1120" t="str">
            <v>TIER 2</v>
          </cell>
          <cell r="G1120" t="str">
            <v>UNSKILLED</v>
          </cell>
          <cell r="H1120">
            <v>400</v>
          </cell>
          <cell r="I1120">
            <v>40462</v>
          </cell>
        </row>
        <row r="1121">
          <cell r="A1121" t="str">
            <v>TENG BENG CHUAN</v>
          </cell>
          <cell r="B1121" t="str">
            <v>3 49769360</v>
          </cell>
          <cell r="C1121">
            <v>39986</v>
          </cell>
          <cell r="D1121" t="str">
            <v>WP LIVE</v>
          </cell>
          <cell r="E1121">
            <v>40730</v>
          </cell>
          <cell r="F1121" t="str">
            <v>TIER 2</v>
          </cell>
          <cell r="G1121" t="str">
            <v>UNSKILLED</v>
          </cell>
          <cell r="H1121">
            <v>400</v>
          </cell>
          <cell r="I1121">
            <v>39986</v>
          </cell>
        </row>
        <row r="1122">
          <cell r="A1122" t="str">
            <v>TEO PAIK HUI</v>
          </cell>
          <cell r="B1122" t="str">
            <v>5 07559646</v>
          </cell>
          <cell r="C1122">
            <v>40128</v>
          </cell>
          <cell r="D1122" t="str">
            <v>WP LIVE</v>
          </cell>
          <cell r="E1122">
            <v>41182</v>
          </cell>
          <cell r="F1122" t="str">
            <v>TIER 2</v>
          </cell>
          <cell r="G1122" t="str">
            <v>UNSKILLED</v>
          </cell>
          <cell r="H1122">
            <v>400</v>
          </cell>
          <cell r="I1122">
            <v>40725</v>
          </cell>
        </row>
        <row r="1123">
          <cell r="A1123" t="str">
            <v>THAIVANAI A/P VADIVELU</v>
          </cell>
          <cell r="B1123" t="str">
            <v>5 2636645-</v>
          </cell>
          <cell r="C1123">
            <v>39875</v>
          </cell>
          <cell r="D1123" t="str">
            <v>WP LIVE</v>
          </cell>
          <cell r="E1123">
            <v>41319</v>
          </cell>
          <cell r="F1123" t="str">
            <v>TIER 2</v>
          </cell>
          <cell r="G1123" t="str">
            <v>UNSKILLED</v>
          </cell>
          <cell r="H1123">
            <v>400</v>
          </cell>
          <cell r="I1123">
            <v>40725</v>
          </cell>
        </row>
        <row r="1124">
          <cell r="A1124" t="str">
            <v>THALABATHY A/L RAJH GOPAEL</v>
          </cell>
          <cell r="B1124" t="str">
            <v>4 03111775</v>
          </cell>
          <cell r="C1124">
            <v>39920</v>
          </cell>
          <cell r="D1124" t="str">
            <v>WP LIVE</v>
          </cell>
          <cell r="E1124">
            <v>41411</v>
          </cell>
          <cell r="F1124" t="str">
            <v>TIER 2</v>
          </cell>
          <cell r="G1124" t="str">
            <v>UNSKILLED</v>
          </cell>
          <cell r="H1124">
            <v>400</v>
          </cell>
          <cell r="I1124">
            <v>40725</v>
          </cell>
        </row>
        <row r="1125">
          <cell r="A1125" t="str">
            <v>THAM HUAN YEN</v>
          </cell>
          <cell r="B1125" t="str">
            <v>3 54074745</v>
          </cell>
          <cell r="C1125">
            <v>40276</v>
          </cell>
          <cell r="D1125" t="str">
            <v>WP LIVE</v>
          </cell>
          <cell r="E1125">
            <v>41219</v>
          </cell>
          <cell r="F1125" t="str">
            <v>TIER 2</v>
          </cell>
          <cell r="G1125" t="str">
            <v>UNSKILLED</v>
          </cell>
          <cell r="H1125">
            <v>400</v>
          </cell>
          <cell r="I1125">
            <v>40725</v>
          </cell>
        </row>
        <row r="1126">
          <cell r="A1126" t="str">
            <v>THAMARAI MALER A/P SUPPIAH</v>
          </cell>
          <cell r="B1126" t="str">
            <v>5 06918359</v>
          </cell>
          <cell r="C1126">
            <v>39212</v>
          </cell>
          <cell r="D1126" t="str">
            <v>WP LIVE</v>
          </cell>
          <cell r="E1126">
            <v>41422</v>
          </cell>
          <cell r="F1126" t="str">
            <v>TIER 2</v>
          </cell>
          <cell r="G1126" t="str">
            <v>UNSKILLED</v>
          </cell>
          <cell r="H1126">
            <v>400</v>
          </cell>
          <cell r="I1126">
            <v>40725</v>
          </cell>
        </row>
        <row r="1127">
          <cell r="A1127" t="str">
            <v>THAMARISELVI A/P NADASON</v>
          </cell>
          <cell r="B1127" t="str">
            <v>3 55242153</v>
          </cell>
          <cell r="C1127">
            <v>40233</v>
          </cell>
          <cell r="D1127" t="str">
            <v>WP LIVE</v>
          </cell>
          <cell r="E1127">
            <v>40990</v>
          </cell>
          <cell r="F1127" t="str">
            <v>TIER 2</v>
          </cell>
          <cell r="G1127" t="str">
            <v>UNSKILLED</v>
          </cell>
          <cell r="H1127">
            <v>400</v>
          </cell>
          <cell r="I1127">
            <v>40233</v>
          </cell>
        </row>
        <row r="1128">
          <cell r="A1128" t="str">
            <v>THAMLSELUI A/P NARAYANASAMY</v>
          </cell>
          <cell r="B1128" t="str">
            <v>3 58177417</v>
          </cell>
          <cell r="C1128">
            <v>40353</v>
          </cell>
          <cell r="D1128" t="str">
            <v>WP LIVE</v>
          </cell>
          <cell r="E1128">
            <v>40996</v>
          </cell>
          <cell r="F1128" t="str">
            <v>TIER 2</v>
          </cell>
          <cell r="G1128" t="str">
            <v>UNSKILLED</v>
          </cell>
          <cell r="H1128">
            <v>400</v>
          </cell>
          <cell r="I1128">
            <v>40360</v>
          </cell>
        </row>
        <row r="1129">
          <cell r="A1129" t="str">
            <v>THANALAKY A/P PERUMAL</v>
          </cell>
          <cell r="B1129" t="str">
            <v>3 82245334</v>
          </cell>
          <cell r="C1129">
            <v>39895</v>
          </cell>
          <cell r="D1129" t="str">
            <v>WP LIVE</v>
          </cell>
          <cell r="E1129">
            <v>41366</v>
          </cell>
          <cell r="F1129" t="str">
            <v>TIER 2</v>
          </cell>
          <cell r="G1129" t="str">
            <v>UNSKILLED</v>
          </cell>
          <cell r="H1129">
            <v>400</v>
          </cell>
          <cell r="I1129">
            <v>40725</v>
          </cell>
        </row>
        <row r="1130">
          <cell r="A1130" t="str">
            <v>THANGA A/P GOVINDAN</v>
          </cell>
          <cell r="B1130" t="str">
            <v>3 73886866</v>
          </cell>
          <cell r="C1130">
            <v>40372</v>
          </cell>
          <cell r="D1130" t="str">
            <v>WP LIVE</v>
          </cell>
          <cell r="E1130">
            <v>40965</v>
          </cell>
          <cell r="F1130" t="str">
            <v>TIER 2</v>
          </cell>
          <cell r="G1130" t="str">
            <v>UNSKILLED</v>
          </cell>
          <cell r="H1130">
            <v>400</v>
          </cell>
          <cell r="I1130">
            <v>40372</v>
          </cell>
        </row>
        <row r="1131">
          <cell r="A1131" t="str">
            <v>THARAGHESWERI A/P SUBRAWMANIAN</v>
          </cell>
          <cell r="B1131" t="str">
            <v>5 26869907</v>
          </cell>
          <cell r="C1131">
            <v>38919</v>
          </cell>
          <cell r="D1131" t="str">
            <v>WP LIVE</v>
          </cell>
          <cell r="E1131">
            <v>41128</v>
          </cell>
          <cell r="F1131" t="str">
            <v>TIER 2</v>
          </cell>
          <cell r="G1131" t="str">
            <v>UNSKILLED</v>
          </cell>
          <cell r="H1131">
            <v>400</v>
          </cell>
          <cell r="I1131">
            <v>40725</v>
          </cell>
        </row>
        <row r="1132">
          <cell r="A1132" t="str">
            <v>THARUMALINGAM A/L N SUBRAMANIAM</v>
          </cell>
          <cell r="B1132" t="str">
            <v>5 39373390</v>
          </cell>
          <cell r="C1132">
            <v>40448</v>
          </cell>
          <cell r="D1132" t="str">
            <v>WP LIVE</v>
          </cell>
          <cell r="E1132">
            <v>41070</v>
          </cell>
          <cell r="F1132" t="str">
            <v>TIER 2</v>
          </cell>
          <cell r="G1132" t="str">
            <v>UNSKILLED</v>
          </cell>
          <cell r="H1132">
            <v>400</v>
          </cell>
          <cell r="I1132">
            <v>40725</v>
          </cell>
        </row>
        <row r="1133">
          <cell r="A1133" t="str">
            <v>THENES A/L PEREISAMY</v>
          </cell>
          <cell r="B1133" t="str">
            <v>4 03551988</v>
          </cell>
          <cell r="C1133">
            <v>40476</v>
          </cell>
          <cell r="D1133" t="str">
            <v>WP LIVE</v>
          </cell>
          <cell r="E1133">
            <v>41216</v>
          </cell>
          <cell r="F1133" t="str">
            <v>TIER 2</v>
          </cell>
          <cell r="G1133" t="str">
            <v>UNSKILLED</v>
          </cell>
          <cell r="H1133">
            <v>400</v>
          </cell>
          <cell r="I1133">
            <v>40476</v>
          </cell>
        </row>
        <row r="1134">
          <cell r="A1134" t="str">
            <v>THENMOHLI A/P SUBRAMANIAM</v>
          </cell>
          <cell r="B1134" t="str">
            <v>4 01684824</v>
          </cell>
          <cell r="C1134">
            <v>39121</v>
          </cell>
          <cell r="D1134" t="str">
            <v>WP LIVE</v>
          </cell>
          <cell r="E1134">
            <v>41326</v>
          </cell>
          <cell r="F1134" t="str">
            <v>TIER 2</v>
          </cell>
          <cell r="G1134" t="str">
            <v>UNSKILLED</v>
          </cell>
          <cell r="H1134">
            <v>400</v>
          </cell>
          <cell r="I1134">
            <v>40725</v>
          </cell>
        </row>
        <row r="1135">
          <cell r="A1135" t="str">
            <v>THEVEKA A/P MUTHUSAMY</v>
          </cell>
          <cell r="B1135" t="str">
            <v>5 14804796</v>
          </cell>
          <cell r="C1135">
            <v>40163</v>
          </cell>
          <cell r="D1135" t="str">
            <v>WP LIVE</v>
          </cell>
          <cell r="E1135">
            <v>40861</v>
          </cell>
          <cell r="F1135" t="str">
            <v>TIER 2</v>
          </cell>
          <cell r="G1135" t="str">
            <v>UNSKILLED</v>
          </cell>
          <cell r="H1135">
            <v>400</v>
          </cell>
          <cell r="I1135">
            <v>40725</v>
          </cell>
        </row>
        <row r="1136">
          <cell r="A1136" t="str">
            <v>THIYAGU A/L MUNIANDY</v>
          </cell>
          <cell r="B1136" t="str">
            <v>4 03598801</v>
          </cell>
          <cell r="C1136">
            <v>40506</v>
          </cell>
          <cell r="D1136" t="str">
            <v>WP LIVE</v>
          </cell>
          <cell r="E1136">
            <v>41204</v>
          </cell>
          <cell r="F1136" t="str">
            <v>TIER 2</v>
          </cell>
          <cell r="G1136" t="str">
            <v>UNSKILLED</v>
          </cell>
          <cell r="H1136">
            <v>400</v>
          </cell>
          <cell r="I1136">
            <v>40725</v>
          </cell>
        </row>
        <row r="1137">
          <cell r="A1137" t="str">
            <v>THUROTHAMAN SANGALIMUTU</v>
          </cell>
          <cell r="B1137" t="str">
            <v>4 03831689</v>
          </cell>
          <cell r="C1137">
            <v>40726</v>
          </cell>
          <cell r="D1137" t="str">
            <v>WP APPROVED</v>
          </cell>
          <cell r="F1137" t="str">
            <v>TIER 2</v>
          </cell>
          <cell r="G1137" t="str">
            <v>UNSKILLED</v>
          </cell>
          <cell r="H1137">
            <v>400</v>
          </cell>
          <cell r="I1137">
            <v>40726</v>
          </cell>
        </row>
        <row r="1138">
          <cell r="A1138" t="str">
            <v>TRISMANDI BIN SAIMAN</v>
          </cell>
          <cell r="B1138" t="str">
            <v>4 03302899</v>
          </cell>
          <cell r="C1138">
            <v>40213</v>
          </cell>
          <cell r="D1138" t="str">
            <v>WP LIVE</v>
          </cell>
          <cell r="E1138">
            <v>40903</v>
          </cell>
          <cell r="F1138" t="str">
            <v>TIER 2</v>
          </cell>
          <cell r="G1138" t="str">
            <v>UNSKILLED</v>
          </cell>
          <cell r="H1138">
            <v>400</v>
          </cell>
          <cell r="I1138">
            <v>40213</v>
          </cell>
        </row>
        <row r="1139">
          <cell r="A1139" t="str">
            <v>TUAH BIN BUJANG</v>
          </cell>
          <cell r="B1139" t="str">
            <v>8 94458097</v>
          </cell>
          <cell r="C1139">
            <v>39902</v>
          </cell>
          <cell r="D1139" t="str">
            <v>WP LIVE</v>
          </cell>
          <cell r="E1139">
            <v>41391</v>
          </cell>
          <cell r="F1139" t="str">
            <v>TIER 2</v>
          </cell>
          <cell r="G1139" t="str">
            <v>UNSKILLED</v>
          </cell>
          <cell r="H1139">
            <v>400</v>
          </cell>
          <cell r="I1139">
            <v>40725</v>
          </cell>
        </row>
        <row r="1140">
          <cell r="A1140" t="str">
            <v>UMA DEVI A/P MUNIANDY</v>
          </cell>
          <cell r="B1140" t="str">
            <v>5 19332884</v>
          </cell>
          <cell r="C1140">
            <v>39644</v>
          </cell>
          <cell r="D1140" t="str">
            <v>WP LIVE</v>
          </cell>
          <cell r="E1140">
            <v>41122</v>
          </cell>
          <cell r="F1140" t="str">
            <v>TIER 2</v>
          </cell>
          <cell r="G1140" t="str">
            <v>UNSKILLED</v>
          </cell>
          <cell r="H1140">
            <v>400</v>
          </cell>
          <cell r="I1140">
            <v>40725</v>
          </cell>
        </row>
        <row r="1141">
          <cell r="A1141" t="str">
            <v>UMAIYAL A/P KRISHNAN</v>
          </cell>
          <cell r="B1141" t="str">
            <v>4 01931104</v>
          </cell>
          <cell r="C1141">
            <v>40505</v>
          </cell>
          <cell r="D1141" t="str">
            <v>WP LIVE</v>
          </cell>
          <cell r="E1141">
            <v>41251</v>
          </cell>
          <cell r="F1141" t="str">
            <v>TIER 2</v>
          </cell>
          <cell r="G1141" t="str">
            <v>UNSKILLED</v>
          </cell>
          <cell r="H1141">
            <v>400</v>
          </cell>
          <cell r="I1141">
            <v>40505</v>
          </cell>
        </row>
        <row r="1142">
          <cell r="A1142" t="str">
            <v>USHAKUMARI A/P V SUBRAMANIAM</v>
          </cell>
          <cell r="B1142" t="str">
            <v>5 16480319</v>
          </cell>
          <cell r="C1142">
            <v>39624</v>
          </cell>
          <cell r="D1142" t="str">
            <v>WP LIVE</v>
          </cell>
          <cell r="E1142">
            <v>41103</v>
          </cell>
          <cell r="F1142" t="str">
            <v>TIER 2</v>
          </cell>
          <cell r="G1142" t="str">
            <v>UNSKILLED</v>
          </cell>
          <cell r="H1142">
            <v>400</v>
          </cell>
          <cell r="I1142">
            <v>40725</v>
          </cell>
        </row>
        <row r="1143">
          <cell r="A1143" t="str">
            <v>UWOL BIN MADAWAI</v>
          </cell>
          <cell r="B1143" t="str">
            <v>4 01910778</v>
          </cell>
          <cell r="C1143">
            <v>39848</v>
          </cell>
          <cell r="D1143" t="str">
            <v>WP LIVE</v>
          </cell>
          <cell r="E1143">
            <v>41049</v>
          </cell>
          <cell r="F1143" t="str">
            <v>TIER 2</v>
          </cell>
          <cell r="G1143" t="str">
            <v>UNSKILLED</v>
          </cell>
          <cell r="H1143">
            <v>400</v>
          </cell>
          <cell r="I1143">
            <v>40725</v>
          </cell>
        </row>
        <row r="1144">
          <cell r="A1144" t="str">
            <v>VALLIAMAH A/P SUPPIAH</v>
          </cell>
          <cell r="B1144" t="str">
            <v>3 55156087</v>
          </cell>
          <cell r="C1144">
            <v>40472</v>
          </cell>
          <cell r="D1144" t="str">
            <v>WP LIVE</v>
          </cell>
          <cell r="E1144">
            <v>40846</v>
          </cell>
          <cell r="F1144" t="str">
            <v>TIER 2</v>
          </cell>
          <cell r="G1144" t="str">
            <v>UNSKILLED</v>
          </cell>
          <cell r="H1144">
            <v>400</v>
          </cell>
          <cell r="I1144">
            <v>40725</v>
          </cell>
        </row>
        <row r="1145">
          <cell r="A1145" t="str">
            <v>VANITHA A/P BARNU</v>
          </cell>
          <cell r="B1145" t="str">
            <v>4 03553093</v>
          </cell>
          <cell r="C1145">
            <v>40504</v>
          </cell>
          <cell r="D1145" t="str">
            <v>WP LIVE</v>
          </cell>
          <cell r="E1145">
            <v>41241</v>
          </cell>
          <cell r="F1145" t="str">
            <v>TIER 2</v>
          </cell>
          <cell r="G1145" t="str">
            <v>UNSKILLED</v>
          </cell>
          <cell r="H1145">
            <v>400</v>
          </cell>
          <cell r="I1145">
            <v>40725</v>
          </cell>
        </row>
        <row r="1146">
          <cell r="A1146" t="str">
            <v>VANITHA A/P MARIMUTHU</v>
          </cell>
          <cell r="B1146" t="str">
            <v>5 22088609</v>
          </cell>
          <cell r="C1146">
            <v>39239</v>
          </cell>
          <cell r="D1146" t="str">
            <v>WP LIVE</v>
          </cell>
          <cell r="E1146">
            <v>41452</v>
          </cell>
          <cell r="F1146" t="str">
            <v>TIER 2</v>
          </cell>
          <cell r="G1146" t="str">
            <v>UNSKILLED</v>
          </cell>
          <cell r="H1146">
            <v>400</v>
          </cell>
          <cell r="I1146">
            <v>40725</v>
          </cell>
        </row>
        <row r="1147">
          <cell r="A1147" t="str">
            <v>VANSUNDRA DEVI A/P NARAYANASAMY</v>
          </cell>
          <cell r="B1147" t="str">
            <v>5 01688797</v>
          </cell>
          <cell r="C1147">
            <v>40233</v>
          </cell>
          <cell r="D1147" t="str">
            <v>WP LIVE</v>
          </cell>
          <cell r="E1147">
            <v>41316</v>
          </cell>
          <cell r="F1147" t="str">
            <v>TIER 2</v>
          </cell>
          <cell r="G1147" t="str">
            <v>UNSKILLED</v>
          </cell>
          <cell r="H1147">
            <v>400</v>
          </cell>
          <cell r="I1147">
            <v>40233</v>
          </cell>
        </row>
        <row r="1148">
          <cell r="A1148" t="str">
            <v>VARATHAN A/L KAPPUSAMY</v>
          </cell>
          <cell r="B1148" t="str">
            <v>3 62806909</v>
          </cell>
          <cell r="C1148">
            <v>40045</v>
          </cell>
          <cell r="D1148" t="str">
            <v>WP LIVE</v>
          </cell>
          <cell r="E1148">
            <v>40785</v>
          </cell>
          <cell r="F1148" t="str">
            <v>TIER 2</v>
          </cell>
          <cell r="G1148" t="str">
            <v>UNSKILLED</v>
          </cell>
          <cell r="H1148">
            <v>400</v>
          </cell>
          <cell r="I1148">
            <v>40725</v>
          </cell>
        </row>
        <row r="1149">
          <cell r="A1149" t="str">
            <v>VASANTHA DEVI A/P GOVINDASAMY</v>
          </cell>
          <cell r="B1149" t="str">
            <v>5 02040928</v>
          </cell>
          <cell r="C1149">
            <v>39554</v>
          </cell>
          <cell r="D1149" t="str">
            <v>WP LIVE</v>
          </cell>
          <cell r="E1149">
            <v>41033</v>
          </cell>
          <cell r="F1149" t="str">
            <v>TIER 2</v>
          </cell>
          <cell r="G1149" t="str">
            <v>UNSKILLED</v>
          </cell>
          <cell r="H1149">
            <v>400</v>
          </cell>
          <cell r="I1149">
            <v>40725</v>
          </cell>
        </row>
        <row r="1150">
          <cell r="A1150" t="str">
            <v>VASANTHA DEVI A/P VELLAYAM</v>
          </cell>
          <cell r="B1150" t="str">
            <v>3 58150004</v>
          </cell>
          <cell r="C1150">
            <v>40093</v>
          </cell>
          <cell r="D1150" t="str">
            <v>WP LIVE</v>
          </cell>
          <cell r="E1150">
            <v>41333</v>
          </cell>
          <cell r="F1150" t="str">
            <v>TIER 2</v>
          </cell>
          <cell r="G1150" t="str">
            <v>UNSKILLED</v>
          </cell>
          <cell r="H1150">
            <v>400</v>
          </cell>
          <cell r="I1150">
            <v>40725</v>
          </cell>
        </row>
        <row r="1151">
          <cell r="A1151" t="str">
            <v>VASANTI A/P TARMALINGAM</v>
          </cell>
          <cell r="B1151" t="str">
            <v>5 24911515</v>
          </cell>
          <cell r="C1151">
            <v>39792</v>
          </cell>
          <cell r="D1151" t="str">
            <v>WP LIVE</v>
          </cell>
          <cell r="E1151">
            <v>41279</v>
          </cell>
          <cell r="F1151" t="str">
            <v>TIER 2</v>
          </cell>
          <cell r="G1151" t="str">
            <v>UNSKILLED</v>
          </cell>
          <cell r="H1151">
            <v>400</v>
          </cell>
          <cell r="I1151">
            <v>40725</v>
          </cell>
        </row>
        <row r="1152">
          <cell r="A1152" t="str">
            <v>VASU A/L AHCHUR TANG</v>
          </cell>
          <cell r="B1152" t="str">
            <v>4 03146544</v>
          </cell>
          <cell r="C1152">
            <v>39986</v>
          </cell>
          <cell r="D1152" t="str">
            <v>WP LIVE</v>
          </cell>
          <cell r="E1152">
            <v>40730</v>
          </cell>
          <cell r="F1152" t="str">
            <v>TIER 2</v>
          </cell>
          <cell r="G1152" t="str">
            <v>UNSKILLED</v>
          </cell>
          <cell r="H1152">
            <v>400</v>
          </cell>
          <cell r="I1152">
            <v>39986</v>
          </cell>
        </row>
        <row r="1153">
          <cell r="A1153" t="str">
            <v>VASU A/L MUNIANDY</v>
          </cell>
          <cell r="B1153" t="str">
            <v>5 24589281</v>
          </cell>
          <cell r="C1153">
            <v>39881</v>
          </cell>
          <cell r="D1153" t="str">
            <v>WP LIVE</v>
          </cell>
          <cell r="E1153">
            <v>41348</v>
          </cell>
          <cell r="F1153" t="str">
            <v>TIER 2</v>
          </cell>
          <cell r="G1153" t="str">
            <v>UNSKILLED</v>
          </cell>
          <cell r="H1153">
            <v>400</v>
          </cell>
          <cell r="I1153">
            <v>40725</v>
          </cell>
        </row>
        <row r="1154">
          <cell r="A1154" t="str">
            <v>VASUNTHARA A/P WILLIAM</v>
          </cell>
          <cell r="B1154" t="str">
            <v>5 33628400</v>
          </cell>
          <cell r="C1154">
            <v>40295</v>
          </cell>
          <cell r="D1154" t="str">
            <v>WP LIVE</v>
          </cell>
          <cell r="E1154">
            <v>40986</v>
          </cell>
          <cell r="F1154" t="str">
            <v>TIER 2</v>
          </cell>
          <cell r="G1154" t="str">
            <v>UNSKILLED</v>
          </cell>
          <cell r="H1154">
            <v>400</v>
          </cell>
          <cell r="I1154">
            <v>40360</v>
          </cell>
        </row>
        <row r="1155">
          <cell r="A1155" t="str">
            <v>VEERASAMY A/L VARATHARAJU</v>
          </cell>
          <cell r="B1155" t="str">
            <v>5 1181264-</v>
          </cell>
          <cell r="C1155">
            <v>39189</v>
          </cell>
          <cell r="D1155" t="str">
            <v>WP LIVE</v>
          </cell>
          <cell r="E1155">
            <v>40965</v>
          </cell>
          <cell r="F1155" t="str">
            <v>TIER 2</v>
          </cell>
          <cell r="G1155" t="str">
            <v>UNSKILLED</v>
          </cell>
          <cell r="H1155">
            <v>400</v>
          </cell>
          <cell r="I1155">
            <v>40725</v>
          </cell>
        </row>
        <row r="1156">
          <cell r="A1156" t="str">
            <v>VEERIAH A/L VERAPPAN</v>
          </cell>
          <cell r="B1156" t="str">
            <v>5 37639199</v>
          </cell>
          <cell r="C1156">
            <v>39965</v>
          </cell>
          <cell r="D1156" t="str">
            <v>WP LIVE</v>
          </cell>
          <cell r="E1156">
            <v>41446</v>
          </cell>
          <cell r="F1156" t="str">
            <v>TIER 2</v>
          </cell>
          <cell r="G1156" t="str">
            <v>UNSKILLED</v>
          </cell>
          <cell r="H1156">
            <v>400</v>
          </cell>
          <cell r="I1156">
            <v>40725</v>
          </cell>
        </row>
        <row r="1157">
          <cell r="A1157" t="str">
            <v>VEKNESWARY A/P VENGIDASALAM</v>
          </cell>
          <cell r="B1157" t="str">
            <v>3 82716035</v>
          </cell>
          <cell r="C1157">
            <v>40175</v>
          </cell>
          <cell r="D1157" t="str">
            <v>WP LIVE</v>
          </cell>
          <cell r="E1157">
            <v>40918</v>
          </cell>
          <cell r="F1157" t="str">
            <v>TIER 2</v>
          </cell>
          <cell r="G1157" t="str">
            <v>UNSKILLED</v>
          </cell>
          <cell r="H1157">
            <v>400</v>
          </cell>
          <cell r="I1157">
            <v>40175</v>
          </cell>
        </row>
        <row r="1158">
          <cell r="A1158" t="str">
            <v>VELAN A/L KANNAN</v>
          </cell>
          <cell r="B1158" t="str">
            <v>4 00451028</v>
          </cell>
          <cell r="C1158">
            <v>40205</v>
          </cell>
          <cell r="D1158" t="str">
            <v>WP LIVE</v>
          </cell>
          <cell r="E1158">
            <v>40884</v>
          </cell>
          <cell r="F1158" t="str">
            <v>TIER 2</v>
          </cell>
          <cell r="G1158" t="str">
            <v>UNSKILLED</v>
          </cell>
          <cell r="H1158">
            <v>400</v>
          </cell>
          <cell r="I1158">
            <v>40725</v>
          </cell>
        </row>
        <row r="1159">
          <cell r="A1159" t="str">
            <v>VELAYAMMAL A/P MURIGAYA</v>
          </cell>
          <cell r="B1159" t="str">
            <v>3 83988845</v>
          </cell>
          <cell r="C1159">
            <v>39650</v>
          </cell>
          <cell r="D1159" t="str">
            <v>WP LIVE</v>
          </cell>
          <cell r="E1159">
            <v>40997</v>
          </cell>
          <cell r="F1159" t="str">
            <v>TIER 2</v>
          </cell>
          <cell r="G1159" t="str">
            <v>UNSKILLED</v>
          </cell>
          <cell r="H1159">
            <v>400</v>
          </cell>
          <cell r="I1159">
            <v>40725</v>
          </cell>
        </row>
        <row r="1160">
          <cell r="A1160" t="str">
            <v>VELLAMAH A/P SURAMANIAM</v>
          </cell>
          <cell r="B1160" t="str">
            <v>3 7195855-</v>
          </cell>
          <cell r="C1160">
            <v>40056</v>
          </cell>
          <cell r="D1160" t="str">
            <v>WP LIVE</v>
          </cell>
          <cell r="E1160">
            <v>40801</v>
          </cell>
          <cell r="F1160" t="str">
            <v>TIER 2</v>
          </cell>
          <cell r="G1160" t="str">
            <v>UNSKILLED</v>
          </cell>
          <cell r="H1160">
            <v>400</v>
          </cell>
          <cell r="I1160">
            <v>40725</v>
          </cell>
        </row>
        <row r="1161">
          <cell r="A1161" t="str">
            <v>VENY A/P SUBRAMANIAM</v>
          </cell>
          <cell r="B1161" t="str">
            <v>5 18324527</v>
          </cell>
          <cell r="C1161">
            <v>40277</v>
          </cell>
          <cell r="D1161" t="str">
            <v>WP LIVE</v>
          </cell>
          <cell r="E1161">
            <v>40905</v>
          </cell>
          <cell r="F1161" t="str">
            <v>TIER 2</v>
          </cell>
          <cell r="G1161" t="str">
            <v>UNSKILLED</v>
          </cell>
          <cell r="H1161">
            <v>400</v>
          </cell>
          <cell r="I1161">
            <v>40360</v>
          </cell>
        </row>
        <row r="1162">
          <cell r="A1162" t="str">
            <v>VIGNESWARI A/P MUKEH</v>
          </cell>
          <cell r="B1162" t="str">
            <v>5 21969474</v>
          </cell>
          <cell r="C1162">
            <v>40470</v>
          </cell>
          <cell r="D1162" t="str">
            <v>WP LIVE</v>
          </cell>
          <cell r="E1162">
            <v>41072</v>
          </cell>
          <cell r="F1162" t="str">
            <v>TIER 2</v>
          </cell>
          <cell r="G1162" t="str">
            <v>UNSKILLED</v>
          </cell>
          <cell r="H1162">
            <v>400</v>
          </cell>
          <cell r="I1162">
            <v>40470</v>
          </cell>
        </row>
        <row r="1163">
          <cell r="A1163" t="str">
            <v>VIGNESWARI A/P THUNGAVALU</v>
          </cell>
          <cell r="B1163" t="str">
            <v>5 22103144</v>
          </cell>
          <cell r="C1163">
            <v>39197</v>
          </cell>
          <cell r="D1163" t="str">
            <v>WP LIVE</v>
          </cell>
          <cell r="E1163">
            <v>40972</v>
          </cell>
          <cell r="F1163" t="str">
            <v>TIER 2</v>
          </cell>
          <cell r="G1163" t="str">
            <v>UNSKILLED</v>
          </cell>
          <cell r="H1163">
            <v>400</v>
          </cell>
          <cell r="I1163">
            <v>40725</v>
          </cell>
        </row>
        <row r="1164">
          <cell r="A1164" t="str">
            <v>VIJAY A/L GOPAL KRISHNAN</v>
          </cell>
          <cell r="B1164" t="str">
            <v>4 03402400</v>
          </cell>
          <cell r="C1164">
            <v>40295</v>
          </cell>
          <cell r="D1164" t="str">
            <v>WP LIVE</v>
          </cell>
          <cell r="E1164">
            <v>40990</v>
          </cell>
          <cell r="F1164" t="str">
            <v>TIER 2</v>
          </cell>
          <cell r="G1164" t="str">
            <v>UNSKILLED</v>
          </cell>
          <cell r="H1164">
            <v>400</v>
          </cell>
          <cell r="I1164">
            <v>40360</v>
          </cell>
        </row>
        <row r="1165">
          <cell r="A1165" t="str">
            <v>VIJAYA A/P G SIMMATHRI</v>
          </cell>
          <cell r="B1165" t="str">
            <v>5 2799389-</v>
          </cell>
          <cell r="C1165">
            <v>40218</v>
          </cell>
          <cell r="D1165" t="str">
            <v>WP LIVE</v>
          </cell>
          <cell r="E1165">
            <v>41308</v>
          </cell>
          <cell r="F1165" t="str">
            <v>TIER 2</v>
          </cell>
          <cell r="G1165" t="str">
            <v>UNSKILLED</v>
          </cell>
          <cell r="H1165">
            <v>400</v>
          </cell>
          <cell r="I1165">
            <v>40725</v>
          </cell>
        </row>
        <row r="1166">
          <cell r="A1166" t="str">
            <v>VIJAYALETCHUMI A/P VELLASAMY</v>
          </cell>
          <cell r="B1166" t="str">
            <v>5 20279768</v>
          </cell>
          <cell r="C1166">
            <v>40280</v>
          </cell>
          <cell r="D1166" t="str">
            <v>WP LIVE</v>
          </cell>
          <cell r="E1166">
            <v>41033</v>
          </cell>
          <cell r="F1166" t="str">
            <v>TIER 2</v>
          </cell>
          <cell r="G1166" t="str">
            <v>UNSKILLED</v>
          </cell>
          <cell r="H1166">
            <v>400</v>
          </cell>
          <cell r="I1166">
            <v>40360</v>
          </cell>
        </row>
        <row r="1167">
          <cell r="A1167" t="str">
            <v>VIKVADEVI A/P AYYARU</v>
          </cell>
          <cell r="B1167" t="str">
            <v>5 33875483</v>
          </cell>
          <cell r="C1167">
            <v>40189</v>
          </cell>
          <cell r="D1167" t="str">
            <v>WP LIVE</v>
          </cell>
          <cell r="E1167">
            <v>40926</v>
          </cell>
          <cell r="F1167" t="str">
            <v>TIER 2</v>
          </cell>
          <cell r="G1167" t="str">
            <v>UNSKILLED</v>
          </cell>
          <cell r="H1167">
            <v>400</v>
          </cell>
          <cell r="I1167">
            <v>40725</v>
          </cell>
        </row>
        <row r="1168">
          <cell r="A1168" t="str">
            <v>VISALACHY A/P RAMAN NARAYANAN</v>
          </cell>
          <cell r="B1168" t="str">
            <v>5 27897025</v>
          </cell>
          <cell r="C1168">
            <v>40192</v>
          </cell>
          <cell r="D1168" t="str">
            <v>WP LIVE</v>
          </cell>
          <cell r="E1168">
            <v>40934</v>
          </cell>
          <cell r="F1168" t="str">
            <v>TIER 2</v>
          </cell>
          <cell r="G1168" t="str">
            <v>UNSKILLED</v>
          </cell>
          <cell r="H1168">
            <v>400</v>
          </cell>
          <cell r="I1168">
            <v>40360</v>
          </cell>
        </row>
        <row r="1169">
          <cell r="A1169" t="str">
            <v>VISWA NATHAN S/O GANA PATHY</v>
          </cell>
          <cell r="B1169" t="str">
            <v>3 57967848</v>
          </cell>
          <cell r="C1169">
            <v>38729</v>
          </cell>
          <cell r="D1169" t="str">
            <v>WP LIVE</v>
          </cell>
          <cell r="E1169">
            <v>40932</v>
          </cell>
          <cell r="F1169" t="str">
            <v>TIER 2</v>
          </cell>
          <cell r="G1169" t="str">
            <v>UNSKILLED</v>
          </cell>
          <cell r="H1169">
            <v>400</v>
          </cell>
          <cell r="I1169">
            <v>40725</v>
          </cell>
        </row>
        <row r="1170">
          <cell r="A1170" t="str">
            <v>WANEESWARY A/P MANIAM</v>
          </cell>
          <cell r="B1170" t="str">
            <v>5 17902934</v>
          </cell>
          <cell r="C1170">
            <v>39664</v>
          </cell>
          <cell r="D1170" t="str">
            <v>WP LIVE</v>
          </cell>
          <cell r="E1170">
            <v>41044</v>
          </cell>
          <cell r="F1170" t="str">
            <v>TIER 2</v>
          </cell>
          <cell r="G1170" t="str">
            <v>UNSKILLED</v>
          </cell>
          <cell r="H1170">
            <v>400</v>
          </cell>
          <cell r="I1170">
            <v>40725</v>
          </cell>
        </row>
        <row r="1171">
          <cell r="A1171" t="str">
            <v>WANG CHUNMING</v>
          </cell>
          <cell r="B1171" t="str">
            <v>0 7349592-</v>
          </cell>
          <cell r="C1171">
            <v>40038</v>
          </cell>
          <cell r="D1171" t="str">
            <v>WP LIVE</v>
          </cell>
          <cell r="E1171">
            <v>40771</v>
          </cell>
          <cell r="F1171" t="str">
            <v>TIER 2</v>
          </cell>
          <cell r="G1171" t="str">
            <v>UNSKILLED</v>
          </cell>
          <cell r="H1171">
            <v>400</v>
          </cell>
          <cell r="I1171">
            <v>40725</v>
          </cell>
        </row>
        <row r="1172">
          <cell r="A1172" t="str">
            <v>WANG FANGHONG</v>
          </cell>
          <cell r="B1172" t="str">
            <v>0 73836565</v>
          </cell>
          <cell r="C1172">
            <v>40289</v>
          </cell>
          <cell r="D1172" t="str">
            <v>WP LIVE</v>
          </cell>
          <cell r="E1172">
            <v>41021</v>
          </cell>
          <cell r="F1172" t="str">
            <v>TIER 2</v>
          </cell>
          <cell r="G1172" t="str">
            <v>UNSKILLED</v>
          </cell>
          <cell r="H1172">
            <v>400</v>
          </cell>
          <cell r="I1172">
            <v>40289</v>
          </cell>
        </row>
        <row r="1173">
          <cell r="A1173" t="str">
            <v>WANG GEK MOY</v>
          </cell>
          <cell r="B1173" t="str">
            <v>3 62632056</v>
          </cell>
          <cell r="C1173">
            <v>38972</v>
          </cell>
          <cell r="D1173" t="str">
            <v>WP LIVE</v>
          </cell>
          <cell r="E1173">
            <v>41197</v>
          </cell>
          <cell r="F1173" t="str">
            <v>TIER 2</v>
          </cell>
          <cell r="G1173" t="str">
            <v>UNSKILLED</v>
          </cell>
          <cell r="H1173">
            <v>400</v>
          </cell>
          <cell r="I1173">
            <v>38972</v>
          </cell>
        </row>
        <row r="1174">
          <cell r="A1174" t="str">
            <v>WANG HAIXIA</v>
          </cell>
          <cell r="B1174" t="str">
            <v>0 72275675</v>
          </cell>
          <cell r="C1174">
            <v>40406</v>
          </cell>
          <cell r="D1174" t="str">
            <v>WP LIVE</v>
          </cell>
          <cell r="E1174">
            <v>41399</v>
          </cell>
          <cell r="F1174" t="str">
            <v>TIER 2</v>
          </cell>
          <cell r="G1174" t="str">
            <v>UNSKILLED</v>
          </cell>
          <cell r="H1174">
            <v>400</v>
          </cell>
          <cell r="I1174">
            <v>40725</v>
          </cell>
        </row>
        <row r="1175">
          <cell r="A1175" t="str">
            <v>WANG HAIYAN</v>
          </cell>
          <cell r="B1175" t="str">
            <v>0 57562242</v>
          </cell>
          <cell r="C1175">
            <v>40312</v>
          </cell>
          <cell r="D1175" t="str">
            <v>WP LIVE</v>
          </cell>
          <cell r="E1175">
            <v>41054</v>
          </cell>
          <cell r="F1175" t="str">
            <v>TIER 2</v>
          </cell>
          <cell r="G1175" t="str">
            <v>UNSKILLED</v>
          </cell>
          <cell r="H1175">
            <v>400</v>
          </cell>
          <cell r="I1175">
            <v>40360</v>
          </cell>
        </row>
        <row r="1176">
          <cell r="A1176" t="str">
            <v>WANG HONG</v>
          </cell>
          <cell r="B1176" t="str">
            <v>0 73437423</v>
          </cell>
          <cell r="C1176">
            <v>39981</v>
          </cell>
          <cell r="D1176" t="str">
            <v>WP LIVE</v>
          </cell>
          <cell r="E1176">
            <v>41434</v>
          </cell>
          <cell r="F1176" t="str">
            <v>TIER 2</v>
          </cell>
          <cell r="G1176" t="str">
            <v>UNSKILLED</v>
          </cell>
          <cell r="H1176">
            <v>400</v>
          </cell>
          <cell r="I1176">
            <v>40725</v>
          </cell>
        </row>
        <row r="1177">
          <cell r="A1177" t="str">
            <v>WANG HUIMIN</v>
          </cell>
          <cell r="B1177" t="str">
            <v>0 73817412</v>
          </cell>
          <cell r="C1177">
            <v>40281</v>
          </cell>
          <cell r="D1177" t="str">
            <v>WP LIVE</v>
          </cell>
          <cell r="E1177">
            <v>41013</v>
          </cell>
          <cell r="F1177" t="str">
            <v>TIER 2</v>
          </cell>
          <cell r="G1177" t="str">
            <v>UNSKILLED</v>
          </cell>
          <cell r="H1177">
            <v>400</v>
          </cell>
          <cell r="I1177">
            <v>40360</v>
          </cell>
        </row>
        <row r="1178">
          <cell r="A1178" t="str">
            <v>WANG JIANGXIA</v>
          </cell>
          <cell r="B1178" t="str">
            <v>0 74039804</v>
          </cell>
          <cell r="C1178">
            <v>40406</v>
          </cell>
          <cell r="D1178" t="str">
            <v>WP LIVE</v>
          </cell>
          <cell r="E1178">
            <v>41139</v>
          </cell>
          <cell r="F1178" t="str">
            <v>TIER 2</v>
          </cell>
          <cell r="G1178" t="str">
            <v>UNSKILLED</v>
          </cell>
          <cell r="H1178">
            <v>400</v>
          </cell>
          <cell r="I1178">
            <v>40406</v>
          </cell>
        </row>
        <row r="1179">
          <cell r="A1179" t="str">
            <v>WANG JUAN</v>
          </cell>
          <cell r="B1179" t="str">
            <v>0 73520142</v>
          </cell>
          <cell r="C1179">
            <v>40060</v>
          </cell>
          <cell r="D1179" t="str">
            <v>WP LIVE</v>
          </cell>
          <cell r="E1179">
            <v>40795</v>
          </cell>
          <cell r="F1179" t="str">
            <v>TIER 2</v>
          </cell>
          <cell r="G1179" t="str">
            <v>UNSKILLED</v>
          </cell>
          <cell r="H1179">
            <v>400</v>
          </cell>
          <cell r="I1179">
            <v>40725</v>
          </cell>
        </row>
        <row r="1180">
          <cell r="A1180" t="str">
            <v>WANG JUN</v>
          </cell>
          <cell r="B1180" t="str">
            <v>0 73903203</v>
          </cell>
          <cell r="C1180">
            <v>40323</v>
          </cell>
          <cell r="D1180" t="str">
            <v>WP LIVE</v>
          </cell>
          <cell r="E1180">
            <v>41434</v>
          </cell>
          <cell r="F1180" t="str">
            <v>TIER 2</v>
          </cell>
          <cell r="G1180" t="str">
            <v>UNSKILLED</v>
          </cell>
          <cell r="H1180">
            <v>400</v>
          </cell>
          <cell r="I1180">
            <v>40725</v>
          </cell>
        </row>
        <row r="1181">
          <cell r="A1181" t="str">
            <v>WANG LIN</v>
          </cell>
          <cell r="B1181" t="str">
            <v>0 74052274</v>
          </cell>
          <cell r="C1181">
            <v>40414</v>
          </cell>
          <cell r="D1181" t="str">
            <v>WP LIVE</v>
          </cell>
          <cell r="E1181">
            <v>41147</v>
          </cell>
          <cell r="F1181" t="str">
            <v>TIER 2</v>
          </cell>
          <cell r="G1181" t="str">
            <v>UNSKILLED</v>
          </cell>
          <cell r="H1181">
            <v>400</v>
          </cell>
          <cell r="I1181">
            <v>40725</v>
          </cell>
        </row>
        <row r="1182">
          <cell r="A1182" t="str">
            <v>WANG MEIGUI</v>
          </cell>
          <cell r="B1182" t="str">
            <v>0 72812549</v>
          </cell>
          <cell r="C1182">
            <v>40038</v>
          </cell>
          <cell r="D1182" t="str">
            <v>WP LIVE</v>
          </cell>
          <cell r="E1182">
            <v>40771</v>
          </cell>
          <cell r="F1182" t="str">
            <v>TIER 2</v>
          </cell>
          <cell r="G1182" t="str">
            <v>UNSKILLED</v>
          </cell>
          <cell r="H1182">
            <v>400</v>
          </cell>
          <cell r="I1182">
            <v>40725</v>
          </cell>
        </row>
        <row r="1183">
          <cell r="A1183" t="str">
            <v>WANG NENGYAN</v>
          </cell>
          <cell r="B1183" t="str">
            <v>0 73871220</v>
          </cell>
          <cell r="C1183">
            <v>40308</v>
          </cell>
          <cell r="D1183" t="str">
            <v>WP LIVE</v>
          </cell>
          <cell r="E1183">
            <v>41040</v>
          </cell>
          <cell r="F1183" t="str">
            <v>TIER 2</v>
          </cell>
          <cell r="G1183" t="str">
            <v>UNSKILLED</v>
          </cell>
          <cell r="H1183">
            <v>400</v>
          </cell>
          <cell r="I1183">
            <v>40360</v>
          </cell>
        </row>
        <row r="1184">
          <cell r="A1184" t="str">
            <v>WANG YIN</v>
          </cell>
          <cell r="B1184" t="str">
            <v>0 74122558</v>
          </cell>
          <cell r="C1184">
            <v>40459</v>
          </cell>
          <cell r="D1184" t="str">
            <v>WP LIVE</v>
          </cell>
          <cell r="E1184">
            <v>41193</v>
          </cell>
          <cell r="F1184" t="str">
            <v>TIER 2</v>
          </cell>
          <cell r="G1184" t="str">
            <v>UNSKILLED</v>
          </cell>
          <cell r="H1184">
            <v>400</v>
          </cell>
          <cell r="I1184">
            <v>40459</v>
          </cell>
        </row>
        <row r="1185">
          <cell r="A1185" t="str">
            <v>WANG YONG XIA</v>
          </cell>
          <cell r="B1185" t="str">
            <v>0 74098770</v>
          </cell>
          <cell r="C1185">
            <v>40443</v>
          </cell>
          <cell r="D1185" t="str">
            <v>WP LIVE</v>
          </cell>
          <cell r="E1185">
            <v>41178</v>
          </cell>
          <cell r="F1185" t="str">
            <v>TIER 2</v>
          </cell>
          <cell r="G1185" t="str">
            <v>UNSKILLED</v>
          </cell>
          <cell r="H1185">
            <v>400</v>
          </cell>
          <cell r="I1185">
            <v>40443</v>
          </cell>
        </row>
        <row r="1186">
          <cell r="A1186" t="str">
            <v>WANG YU FANG</v>
          </cell>
          <cell r="B1186" t="str">
            <v>0 74052258</v>
          </cell>
          <cell r="C1186">
            <v>40414</v>
          </cell>
          <cell r="D1186" t="str">
            <v>WP LIVE</v>
          </cell>
          <cell r="E1186">
            <v>41147</v>
          </cell>
          <cell r="F1186" t="str">
            <v>TIER 2</v>
          </cell>
          <cell r="G1186" t="str">
            <v>UNSKILLED</v>
          </cell>
          <cell r="H1186">
            <v>400</v>
          </cell>
          <cell r="I1186">
            <v>40725</v>
          </cell>
        </row>
        <row r="1187">
          <cell r="A1187" t="str">
            <v>WEE YOON HON</v>
          </cell>
          <cell r="B1187" t="str">
            <v>3 67914602</v>
          </cell>
          <cell r="C1187">
            <v>40415</v>
          </cell>
          <cell r="D1187" t="str">
            <v>WP LIVE</v>
          </cell>
          <cell r="E1187">
            <v>41471</v>
          </cell>
          <cell r="F1187" t="str">
            <v>TIER 2</v>
          </cell>
          <cell r="G1187" t="str">
            <v>UNSKILLED</v>
          </cell>
          <cell r="H1187">
            <v>400</v>
          </cell>
          <cell r="I1187">
            <v>40756</v>
          </cell>
        </row>
        <row r="1188">
          <cell r="A1188" t="str">
            <v>WEI XINWEI</v>
          </cell>
          <cell r="B1188" t="str">
            <v>0 73820235</v>
          </cell>
          <cell r="C1188">
            <v>40282</v>
          </cell>
          <cell r="D1188" t="str">
            <v>WP LIVE</v>
          </cell>
          <cell r="E1188">
            <v>41024</v>
          </cell>
          <cell r="F1188" t="str">
            <v>TIER 2</v>
          </cell>
          <cell r="G1188" t="str">
            <v>UNSKILLED</v>
          </cell>
          <cell r="H1188">
            <v>400</v>
          </cell>
          <cell r="I1188">
            <v>40282</v>
          </cell>
        </row>
        <row r="1189">
          <cell r="A1189" t="str">
            <v>WEI YUAN JIN</v>
          </cell>
          <cell r="B1189" t="str">
            <v>0 74180612</v>
          </cell>
          <cell r="C1189">
            <v>40497</v>
          </cell>
          <cell r="D1189" t="str">
            <v>WP LIVE</v>
          </cell>
          <cell r="E1189">
            <v>41234</v>
          </cell>
          <cell r="F1189" t="str">
            <v>TIER 2</v>
          </cell>
          <cell r="G1189" t="str">
            <v>UNSKILLED</v>
          </cell>
          <cell r="H1189">
            <v>400</v>
          </cell>
          <cell r="I1189">
            <v>40725</v>
          </cell>
        </row>
        <row r="1190">
          <cell r="A1190" t="str">
            <v>WONG HEE CHING</v>
          </cell>
          <cell r="B1190" t="str">
            <v>3 69253735</v>
          </cell>
          <cell r="C1190">
            <v>40295</v>
          </cell>
          <cell r="D1190" t="str">
            <v>WP LIVE</v>
          </cell>
          <cell r="E1190">
            <v>41041</v>
          </cell>
          <cell r="F1190" t="str">
            <v>TIER 2</v>
          </cell>
          <cell r="G1190" t="str">
            <v>UNSKILLED</v>
          </cell>
          <cell r="H1190">
            <v>400</v>
          </cell>
          <cell r="I1190">
            <v>40360</v>
          </cell>
        </row>
        <row r="1191">
          <cell r="A1191" t="str">
            <v>WONG JIT PHENG</v>
          </cell>
          <cell r="B1191" t="str">
            <v>3 44083959</v>
          </cell>
          <cell r="C1191">
            <v>40200</v>
          </cell>
          <cell r="D1191" t="str">
            <v>WP LIVE</v>
          </cell>
          <cell r="E1191">
            <v>40934</v>
          </cell>
          <cell r="F1191" t="str">
            <v>TIER 2</v>
          </cell>
          <cell r="G1191" t="str">
            <v>UNSKILLED</v>
          </cell>
          <cell r="H1191">
            <v>400</v>
          </cell>
          <cell r="I1191">
            <v>40200</v>
          </cell>
        </row>
        <row r="1192">
          <cell r="A1192" t="str">
            <v>WONG KON YING</v>
          </cell>
          <cell r="B1192" t="str">
            <v>3 57307228</v>
          </cell>
          <cell r="C1192">
            <v>40008</v>
          </cell>
          <cell r="D1192" t="str">
            <v>WP LIVE</v>
          </cell>
          <cell r="E1192">
            <v>40750</v>
          </cell>
          <cell r="F1192" t="str">
            <v>TIER 2</v>
          </cell>
          <cell r="G1192" t="str">
            <v>UNSKILLED</v>
          </cell>
          <cell r="H1192">
            <v>400</v>
          </cell>
          <cell r="I1192">
            <v>40725</v>
          </cell>
        </row>
        <row r="1193">
          <cell r="A1193" t="str">
            <v>WONG LEE KIAN</v>
          </cell>
          <cell r="B1193" t="str">
            <v>5 14780668</v>
          </cell>
          <cell r="C1193">
            <v>39778</v>
          </cell>
          <cell r="D1193" t="str">
            <v>WP LIVE</v>
          </cell>
          <cell r="E1193">
            <v>41474</v>
          </cell>
          <cell r="F1193" t="str">
            <v>TIER 2</v>
          </cell>
          <cell r="G1193" t="str">
            <v>UNSKILLED</v>
          </cell>
          <cell r="H1193">
            <v>400</v>
          </cell>
          <cell r="I1193">
            <v>39778</v>
          </cell>
        </row>
        <row r="1194">
          <cell r="A1194" t="str">
            <v>WONG MEI CHOO</v>
          </cell>
          <cell r="B1194" t="str">
            <v>3 74344072</v>
          </cell>
          <cell r="C1194">
            <v>40318</v>
          </cell>
          <cell r="D1194" t="str">
            <v>WP LIVE</v>
          </cell>
          <cell r="E1194">
            <v>41075</v>
          </cell>
          <cell r="F1194" t="str">
            <v>TIER 2</v>
          </cell>
          <cell r="G1194" t="str">
            <v>UNSKILLED</v>
          </cell>
          <cell r="H1194">
            <v>400</v>
          </cell>
          <cell r="I1194">
            <v>40318</v>
          </cell>
        </row>
        <row r="1195">
          <cell r="A1195" t="str">
            <v>WONG NAM SING</v>
          </cell>
          <cell r="B1195" t="str">
            <v>5 01288071</v>
          </cell>
          <cell r="C1195">
            <v>40480</v>
          </cell>
          <cell r="D1195" t="str">
            <v>WP LIVE</v>
          </cell>
          <cell r="E1195">
            <v>41124</v>
          </cell>
          <cell r="F1195" t="str">
            <v>TIER 2</v>
          </cell>
          <cell r="G1195" t="str">
            <v>UNSKILLED</v>
          </cell>
          <cell r="H1195">
            <v>400</v>
          </cell>
          <cell r="I1195">
            <v>40725</v>
          </cell>
        </row>
        <row r="1196">
          <cell r="A1196" t="str">
            <v>WONG NGAI LIAN</v>
          </cell>
          <cell r="B1196" t="str">
            <v>3 82404351</v>
          </cell>
          <cell r="C1196">
            <v>39755</v>
          </cell>
          <cell r="D1196" t="str">
            <v>WP LIVE</v>
          </cell>
          <cell r="E1196">
            <v>41231</v>
          </cell>
          <cell r="F1196" t="str">
            <v>TIER 2</v>
          </cell>
          <cell r="G1196" t="str">
            <v>UNSKILLED</v>
          </cell>
          <cell r="H1196">
            <v>400</v>
          </cell>
          <cell r="I1196">
            <v>40725</v>
          </cell>
        </row>
        <row r="1197">
          <cell r="A1197" t="str">
            <v>WONG SZE YING</v>
          </cell>
          <cell r="B1197" t="str">
            <v>4 03460494</v>
          </cell>
          <cell r="C1197">
            <v>40357</v>
          </cell>
          <cell r="D1197" t="str">
            <v>WP LIVE</v>
          </cell>
          <cell r="E1197">
            <v>40819</v>
          </cell>
          <cell r="F1197" t="str">
            <v>TIER 2</v>
          </cell>
          <cell r="G1197" t="str">
            <v>UNSKILLED</v>
          </cell>
          <cell r="H1197">
            <v>400</v>
          </cell>
          <cell r="I1197">
            <v>40360</v>
          </cell>
        </row>
        <row r="1198">
          <cell r="A1198" t="str">
            <v>WU JINHUA</v>
          </cell>
          <cell r="B1198" t="str">
            <v>0 73449383</v>
          </cell>
          <cell r="C1198">
            <v>39993</v>
          </cell>
          <cell r="D1198" t="str">
            <v>WP LIVE</v>
          </cell>
          <cell r="E1198">
            <v>41454</v>
          </cell>
          <cell r="F1198" t="str">
            <v>TIER 2</v>
          </cell>
          <cell r="G1198" t="str">
            <v>UNSKILLED</v>
          </cell>
          <cell r="H1198">
            <v>400</v>
          </cell>
          <cell r="I1198">
            <v>40725</v>
          </cell>
        </row>
        <row r="1199">
          <cell r="A1199" t="str">
            <v>XU HONGZHI</v>
          </cell>
          <cell r="B1199" t="str">
            <v>0 7390319-</v>
          </cell>
          <cell r="C1199">
            <v>40323</v>
          </cell>
          <cell r="D1199" t="str">
            <v>WP LIVE</v>
          </cell>
          <cell r="E1199">
            <v>41059</v>
          </cell>
          <cell r="F1199" t="str">
            <v>TIER 2</v>
          </cell>
          <cell r="G1199" t="str">
            <v>UNSKILLED</v>
          </cell>
          <cell r="H1199">
            <v>400</v>
          </cell>
          <cell r="I1199">
            <v>40323</v>
          </cell>
        </row>
        <row r="1200">
          <cell r="A1200" t="str">
            <v>XU XIAOPENG</v>
          </cell>
          <cell r="B1200" t="str">
            <v>0 73819504</v>
          </cell>
          <cell r="C1200">
            <v>40282</v>
          </cell>
          <cell r="D1200" t="str">
            <v>WP LIVE</v>
          </cell>
          <cell r="E1200">
            <v>41024</v>
          </cell>
          <cell r="F1200" t="str">
            <v>TIER 2</v>
          </cell>
          <cell r="G1200" t="str">
            <v>UNSKILLED</v>
          </cell>
          <cell r="H1200">
            <v>400</v>
          </cell>
          <cell r="I1200">
            <v>40282</v>
          </cell>
        </row>
        <row r="1201">
          <cell r="A1201" t="str">
            <v>XUE JI DONG</v>
          </cell>
          <cell r="B1201" t="str">
            <v>0 74163726</v>
          </cell>
          <cell r="C1201">
            <v>40485</v>
          </cell>
          <cell r="D1201" t="str">
            <v>WP LIVE</v>
          </cell>
          <cell r="E1201">
            <v>40846</v>
          </cell>
          <cell r="F1201" t="str">
            <v>TIER 2</v>
          </cell>
          <cell r="G1201" t="str">
            <v>UNSKILLED</v>
          </cell>
          <cell r="H1201">
            <v>400</v>
          </cell>
          <cell r="I1201">
            <v>40725</v>
          </cell>
        </row>
        <row r="1202">
          <cell r="A1202" t="str">
            <v>XUE MIN</v>
          </cell>
          <cell r="B1202" t="str">
            <v>0 73529611</v>
          </cell>
          <cell r="C1202">
            <v>40070</v>
          </cell>
          <cell r="D1202" t="str">
            <v>WP LIVE</v>
          </cell>
          <cell r="E1202">
            <v>40802</v>
          </cell>
          <cell r="F1202" t="str">
            <v>TIER 2</v>
          </cell>
          <cell r="G1202" t="str">
            <v>UNSKILLED</v>
          </cell>
          <cell r="H1202">
            <v>400</v>
          </cell>
          <cell r="I1202">
            <v>40725</v>
          </cell>
        </row>
        <row r="1203">
          <cell r="A1203" t="str">
            <v>YAN BING YIN</v>
          </cell>
          <cell r="B1203" t="str">
            <v>0 73988071</v>
          </cell>
          <cell r="C1203">
            <v>40374</v>
          </cell>
          <cell r="D1203" t="str">
            <v>WP LIVE</v>
          </cell>
          <cell r="E1203">
            <v>41108</v>
          </cell>
          <cell r="F1203" t="str">
            <v>TIER 2</v>
          </cell>
          <cell r="G1203" t="str">
            <v>UNSKILLED</v>
          </cell>
          <cell r="H1203">
            <v>400</v>
          </cell>
          <cell r="I1203">
            <v>40725</v>
          </cell>
        </row>
        <row r="1204">
          <cell r="A1204" t="str">
            <v>YANG FAN</v>
          </cell>
          <cell r="B1204" t="str">
            <v>0 73488907</v>
          </cell>
          <cell r="C1204">
            <v>40036</v>
          </cell>
          <cell r="D1204" t="str">
            <v>WP LIVE</v>
          </cell>
          <cell r="E1204">
            <v>40767</v>
          </cell>
          <cell r="F1204" t="str">
            <v>TIER 2</v>
          </cell>
          <cell r="G1204" t="str">
            <v>UNSKILLED</v>
          </cell>
          <cell r="H1204">
            <v>400</v>
          </cell>
          <cell r="I1204">
            <v>40725</v>
          </cell>
        </row>
        <row r="1205">
          <cell r="A1205" t="str">
            <v>YANG TONGLIN</v>
          </cell>
          <cell r="B1205" t="str">
            <v>0 73544297</v>
          </cell>
          <cell r="C1205">
            <v>40081</v>
          </cell>
          <cell r="D1205" t="str">
            <v>WP LIVE</v>
          </cell>
          <cell r="E1205">
            <v>40824</v>
          </cell>
          <cell r="F1205" t="str">
            <v>TIER 2</v>
          </cell>
          <cell r="G1205" t="str">
            <v>UNSKILLED</v>
          </cell>
          <cell r="H1205">
            <v>400</v>
          </cell>
          <cell r="I1205">
            <v>40725</v>
          </cell>
        </row>
        <row r="1206">
          <cell r="A1206" t="str">
            <v>YANG YAN</v>
          </cell>
          <cell r="B1206" t="str">
            <v>0 74023533</v>
          </cell>
          <cell r="C1206">
            <v>40395</v>
          </cell>
          <cell r="D1206" t="str">
            <v>WP LIVE</v>
          </cell>
          <cell r="E1206">
            <v>41132</v>
          </cell>
          <cell r="F1206" t="str">
            <v>TIER 2</v>
          </cell>
          <cell r="G1206" t="str">
            <v>UNSKILLED</v>
          </cell>
          <cell r="H1206">
            <v>400</v>
          </cell>
          <cell r="I1206">
            <v>40725</v>
          </cell>
        </row>
        <row r="1207">
          <cell r="A1207" t="str">
            <v>YAO HAIYAN</v>
          </cell>
          <cell r="B1207" t="str">
            <v>0 73843995</v>
          </cell>
          <cell r="C1207">
            <v>40291</v>
          </cell>
          <cell r="D1207" t="str">
            <v>WP LIVE</v>
          </cell>
          <cell r="E1207">
            <v>41021</v>
          </cell>
          <cell r="F1207" t="str">
            <v>TIER 2</v>
          </cell>
          <cell r="G1207" t="str">
            <v>UNSKILLED</v>
          </cell>
          <cell r="H1207">
            <v>400</v>
          </cell>
          <cell r="I1207">
            <v>40291</v>
          </cell>
        </row>
        <row r="1208">
          <cell r="A1208" t="str">
            <v>YIN HAIYAN</v>
          </cell>
          <cell r="B1208" t="str">
            <v>0 73836352</v>
          </cell>
          <cell r="C1208">
            <v>40289</v>
          </cell>
          <cell r="D1208" t="str">
            <v>WP LIVE</v>
          </cell>
          <cell r="E1208">
            <v>41021</v>
          </cell>
          <cell r="F1208" t="str">
            <v>TIER 2</v>
          </cell>
          <cell r="G1208" t="str">
            <v>UNSKILLED</v>
          </cell>
          <cell r="H1208">
            <v>400</v>
          </cell>
          <cell r="I1208">
            <v>40360</v>
          </cell>
        </row>
        <row r="1209">
          <cell r="A1209" t="str">
            <v>YIN JI LIN</v>
          </cell>
          <cell r="B1209" t="str">
            <v>0 7416370-</v>
          </cell>
          <cell r="C1209">
            <v>40485</v>
          </cell>
          <cell r="D1209" t="str">
            <v>WP LIVE</v>
          </cell>
          <cell r="E1209">
            <v>41216</v>
          </cell>
          <cell r="F1209" t="str">
            <v>TIER 2</v>
          </cell>
          <cell r="G1209" t="str">
            <v>UNSKILLED</v>
          </cell>
          <cell r="H1209">
            <v>400</v>
          </cell>
          <cell r="I1209">
            <v>40485</v>
          </cell>
        </row>
        <row r="1210">
          <cell r="A1210" t="str">
            <v>YU HAI CHUANG</v>
          </cell>
          <cell r="B1210" t="str">
            <v>0 74180698</v>
          </cell>
          <cell r="C1210">
            <v>40497</v>
          </cell>
          <cell r="D1210" t="str">
            <v>WP LIVE</v>
          </cell>
          <cell r="E1210">
            <v>41234</v>
          </cell>
          <cell r="F1210" t="str">
            <v>TIER 2</v>
          </cell>
          <cell r="G1210" t="str">
            <v>UNSKILLED</v>
          </cell>
          <cell r="H1210">
            <v>400</v>
          </cell>
          <cell r="I1210">
            <v>40725</v>
          </cell>
        </row>
        <row r="1211">
          <cell r="A1211" t="str">
            <v>YU JIA JUAN</v>
          </cell>
          <cell r="B1211" t="str">
            <v>0 74146651</v>
          </cell>
          <cell r="C1211">
            <v>40472</v>
          </cell>
          <cell r="D1211" t="str">
            <v>WP LIVE</v>
          </cell>
          <cell r="E1211">
            <v>41207</v>
          </cell>
          <cell r="F1211" t="str">
            <v>TIER 2</v>
          </cell>
          <cell r="G1211" t="str">
            <v>UNSKILLED</v>
          </cell>
          <cell r="H1211">
            <v>400</v>
          </cell>
          <cell r="I1211">
            <v>40472</v>
          </cell>
        </row>
        <row r="1212">
          <cell r="A1212" t="str">
            <v>YU XUEZHEN</v>
          </cell>
          <cell r="B1212" t="str">
            <v>0 73758289</v>
          </cell>
          <cell r="C1212">
            <v>40249</v>
          </cell>
          <cell r="D1212" t="str">
            <v>WP LIVE</v>
          </cell>
          <cell r="E1212">
            <v>40989</v>
          </cell>
          <cell r="F1212" t="str">
            <v>TIER 2</v>
          </cell>
          <cell r="G1212" t="str">
            <v>UNSKILLED</v>
          </cell>
          <cell r="H1212">
            <v>400</v>
          </cell>
          <cell r="I1212">
            <v>40249</v>
          </cell>
        </row>
        <row r="1213">
          <cell r="A1213" t="str">
            <v>YUAN HUA JUN</v>
          </cell>
          <cell r="B1213" t="str">
            <v>0 74146619</v>
          </cell>
          <cell r="C1213">
            <v>40472</v>
          </cell>
          <cell r="D1213" t="str">
            <v>WP LIVE</v>
          </cell>
          <cell r="E1213">
            <v>41207</v>
          </cell>
          <cell r="F1213" t="str">
            <v>TIER 2</v>
          </cell>
          <cell r="G1213" t="str">
            <v>UNSKILLED</v>
          </cell>
          <cell r="H1213">
            <v>400</v>
          </cell>
          <cell r="I1213">
            <v>40472</v>
          </cell>
        </row>
        <row r="1214">
          <cell r="A1214" t="str">
            <v>YURIM BIN RAMLEE</v>
          </cell>
          <cell r="B1214" t="str">
            <v>4 03352330</v>
          </cell>
          <cell r="C1214">
            <v>40261</v>
          </cell>
          <cell r="D1214" t="str">
            <v>WP LIVE</v>
          </cell>
          <cell r="E1214">
            <v>40961</v>
          </cell>
          <cell r="F1214" t="str">
            <v>TIER 2</v>
          </cell>
          <cell r="G1214" t="str">
            <v>UNSKILLED</v>
          </cell>
          <cell r="H1214">
            <v>400</v>
          </cell>
          <cell r="I1214">
            <v>40261</v>
          </cell>
        </row>
        <row r="1215">
          <cell r="A1215" t="str">
            <v>YUVARANI A/P CHIDAM PARAM</v>
          </cell>
          <cell r="B1215" t="str">
            <v>5 23927086</v>
          </cell>
          <cell r="C1215">
            <v>40459</v>
          </cell>
          <cell r="D1215" t="str">
            <v>WP LIVE</v>
          </cell>
          <cell r="E1215">
            <v>41201</v>
          </cell>
          <cell r="F1215" t="str">
            <v>TIER 2</v>
          </cell>
          <cell r="G1215" t="str">
            <v>UNSKILLED</v>
          </cell>
          <cell r="H1215">
            <v>400</v>
          </cell>
          <cell r="I1215">
            <v>40725</v>
          </cell>
        </row>
        <row r="1216">
          <cell r="A1216" t="str">
            <v>ZAIRUS SHAHNATA BIN SULAIMAN</v>
          </cell>
          <cell r="B1216" t="str">
            <v>4 0246237-</v>
          </cell>
          <cell r="C1216">
            <v>40725</v>
          </cell>
          <cell r="D1216" t="str">
            <v>WP APPROVED</v>
          </cell>
          <cell r="F1216" t="str">
            <v>TIER 2</v>
          </cell>
          <cell r="G1216" t="str">
            <v>SKILLED</v>
          </cell>
          <cell r="H1216">
            <v>300</v>
          </cell>
          <cell r="I1216">
            <v>40725</v>
          </cell>
        </row>
        <row r="1217">
          <cell r="A1217" t="str">
            <v>ZAITON BINTI ABDULLAH</v>
          </cell>
          <cell r="B1217" t="str">
            <v>5 20207309</v>
          </cell>
          <cell r="C1217">
            <v>40155</v>
          </cell>
          <cell r="D1217" t="str">
            <v>WP LIVE</v>
          </cell>
          <cell r="E1217">
            <v>40905</v>
          </cell>
          <cell r="F1217" t="str">
            <v>TIER 2</v>
          </cell>
          <cell r="G1217" t="str">
            <v>UNSKILLED</v>
          </cell>
          <cell r="H1217">
            <v>400</v>
          </cell>
          <cell r="I1217">
            <v>40155</v>
          </cell>
        </row>
        <row r="1218">
          <cell r="A1218" t="str">
            <v>ZAITON BINTI MOHAMMAD VEERAN</v>
          </cell>
          <cell r="B1218" t="str">
            <v>5 01160512</v>
          </cell>
          <cell r="C1218">
            <v>40471</v>
          </cell>
          <cell r="D1218" t="str">
            <v>WP LIVE</v>
          </cell>
          <cell r="E1218">
            <v>41223</v>
          </cell>
          <cell r="F1218" t="str">
            <v>TIER 2</v>
          </cell>
          <cell r="G1218" t="str">
            <v>UNSKILLED</v>
          </cell>
          <cell r="H1218">
            <v>400</v>
          </cell>
          <cell r="I1218">
            <v>40725</v>
          </cell>
        </row>
        <row r="1219">
          <cell r="A1219" t="str">
            <v>ZALIAH BINTI MOHAMED LAZIM</v>
          </cell>
          <cell r="B1219" t="str">
            <v>5 18259032</v>
          </cell>
          <cell r="C1219">
            <v>40493</v>
          </cell>
          <cell r="D1219" t="str">
            <v>WP LIVE</v>
          </cell>
          <cell r="E1219">
            <v>41184</v>
          </cell>
          <cell r="F1219" t="str">
            <v>TIER 2</v>
          </cell>
          <cell r="G1219" t="str">
            <v>UNSKILLED</v>
          </cell>
          <cell r="H1219">
            <v>400</v>
          </cell>
          <cell r="I1219">
            <v>40725</v>
          </cell>
        </row>
        <row r="1220">
          <cell r="A1220" t="str">
            <v>ZALIHA BINTI SABTU</v>
          </cell>
          <cell r="B1220" t="str">
            <v>4 03598054</v>
          </cell>
          <cell r="C1220">
            <v>40505</v>
          </cell>
          <cell r="D1220" t="str">
            <v>WP LIVE</v>
          </cell>
          <cell r="E1220">
            <v>41197</v>
          </cell>
          <cell r="F1220" t="str">
            <v>TIER 2</v>
          </cell>
          <cell r="G1220" t="str">
            <v>UNSKILLED</v>
          </cell>
          <cell r="H1220">
            <v>400</v>
          </cell>
          <cell r="I1220">
            <v>40725</v>
          </cell>
        </row>
        <row r="1221">
          <cell r="A1221" t="str">
            <v>ZEENAT BEGUM A/P ALLOUDIN</v>
          </cell>
          <cell r="B1221" t="str">
            <v>4 03843954</v>
          </cell>
          <cell r="C1221">
            <v>40728</v>
          </cell>
          <cell r="D1221" t="str">
            <v>WP APPROVED</v>
          </cell>
          <cell r="F1221" t="str">
            <v>TIER 2</v>
          </cell>
          <cell r="G1221" t="str">
            <v>UNSKILLED</v>
          </cell>
          <cell r="H1221">
            <v>400</v>
          </cell>
          <cell r="I1221">
            <v>40728</v>
          </cell>
        </row>
        <row r="1222">
          <cell r="A1222" t="str">
            <v>ZHANG CHENG HUA</v>
          </cell>
          <cell r="B1222" t="str">
            <v>0 73923603</v>
          </cell>
          <cell r="C1222">
            <v>40338</v>
          </cell>
          <cell r="D1222" t="str">
            <v>WP LIVE</v>
          </cell>
          <cell r="E1222">
            <v>41070</v>
          </cell>
          <cell r="F1222" t="str">
            <v>TIER 2</v>
          </cell>
          <cell r="G1222" t="str">
            <v>UNSKILLED</v>
          </cell>
          <cell r="H1222">
            <v>400</v>
          </cell>
          <cell r="I1222">
            <v>40360</v>
          </cell>
        </row>
        <row r="1223">
          <cell r="A1223" t="str">
            <v>ZHANG HONGJUAN</v>
          </cell>
          <cell r="B1223" t="str">
            <v>0 7352010-</v>
          </cell>
          <cell r="C1223">
            <v>40060</v>
          </cell>
          <cell r="D1223" t="str">
            <v>WP LIVE</v>
          </cell>
          <cell r="E1223">
            <v>40795</v>
          </cell>
          <cell r="F1223" t="str">
            <v>TIER 2</v>
          </cell>
          <cell r="G1223" t="str">
            <v>UNSKILLED</v>
          </cell>
          <cell r="H1223">
            <v>400</v>
          </cell>
          <cell r="I1223">
            <v>40725</v>
          </cell>
        </row>
        <row r="1224">
          <cell r="A1224" t="str">
            <v>ZHANG JIAN QING</v>
          </cell>
          <cell r="B1224" t="str">
            <v>0 74052681</v>
          </cell>
          <cell r="C1224">
            <v>40414</v>
          </cell>
          <cell r="D1224" t="str">
            <v>WP LIVE</v>
          </cell>
          <cell r="E1224">
            <v>41147</v>
          </cell>
          <cell r="F1224" t="str">
            <v>TIER 2</v>
          </cell>
          <cell r="G1224" t="str">
            <v>UNSKILLED</v>
          </cell>
          <cell r="H1224">
            <v>400</v>
          </cell>
          <cell r="I1224">
            <v>40725</v>
          </cell>
        </row>
        <row r="1225">
          <cell r="A1225" t="str">
            <v>ZHANG LIPING</v>
          </cell>
          <cell r="B1225" t="str">
            <v>0 73461499</v>
          </cell>
          <cell r="C1225">
            <v>40007</v>
          </cell>
          <cell r="D1225" t="str">
            <v>WP LIVE</v>
          </cell>
          <cell r="E1225">
            <v>41370</v>
          </cell>
          <cell r="F1225" t="str">
            <v>TIER 2</v>
          </cell>
          <cell r="G1225" t="str">
            <v>UNSKILLED</v>
          </cell>
          <cell r="H1225">
            <v>400</v>
          </cell>
          <cell r="I1225">
            <v>40725</v>
          </cell>
        </row>
        <row r="1226">
          <cell r="A1226" t="str">
            <v>ZHANG SHAOJU</v>
          </cell>
          <cell r="B1226" t="str">
            <v>0 73545927</v>
          </cell>
          <cell r="C1226">
            <v>40084</v>
          </cell>
          <cell r="D1226" t="str">
            <v>WP LIVE</v>
          </cell>
          <cell r="E1226">
            <v>40824</v>
          </cell>
          <cell r="F1226" t="str">
            <v>TIER 2</v>
          </cell>
          <cell r="G1226" t="str">
            <v>UNSKILLED</v>
          </cell>
          <cell r="H1226">
            <v>400</v>
          </cell>
          <cell r="I1226">
            <v>40725</v>
          </cell>
        </row>
        <row r="1227">
          <cell r="A1227" t="str">
            <v>ZHANG SONGCHANG</v>
          </cell>
          <cell r="B1227" t="str">
            <v>0 57051922</v>
          </cell>
          <cell r="C1227">
            <v>38870</v>
          </cell>
          <cell r="D1227" t="str">
            <v>WP LIVE</v>
          </cell>
          <cell r="E1227">
            <v>40911</v>
          </cell>
          <cell r="F1227" t="str">
            <v>TIER 2</v>
          </cell>
          <cell r="G1227" t="str">
            <v>UNSKILLED</v>
          </cell>
          <cell r="H1227">
            <v>400</v>
          </cell>
          <cell r="I1227">
            <v>40725</v>
          </cell>
        </row>
        <row r="1228">
          <cell r="A1228" t="str">
            <v>ZHANG XI CUI</v>
          </cell>
          <cell r="B1228" t="str">
            <v>0 73517699</v>
          </cell>
          <cell r="C1228">
            <v>40058</v>
          </cell>
          <cell r="D1228" t="str">
            <v>WP LIVE</v>
          </cell>
          <cell r="E1228">
            <v>40793</v>
          </cell>
          <cell r="F1228" t="str">
            <v>TIER 2</v>
          </cell>
          <cell r="G1228" t="str">
            <v>UNSKILLED</v>
          </cell>
          <cell r="H1228">
            <v>400</v>
          </cell>
          <cell r="I1228">
            <v>40058</v>
          </cell>
        </row>
        <row r="1229">
          <cell r="A1229" t="str">
            <v>ZHANG XI FANG</v>
          </cell>
          <cell r="B1229" t="str">
            <v>0 74155944</v>
          </cell>
          <cell r="C1229">
            <v>40479</v>
          </cell>
          <cell r="D1229" t="str">
            <v>WP LIVE</v>
          </cell>
          <cell r="E1229">
            <v>41210</v>
          </cell>
          <cell r="F1229" t="str">
            <v>TIER 2</v>
          </cell>
          <cell r="G1229" t="str">
            <v>UNSKILLED</v>
          </cell>
          <cell r="H1229">
            <v>400</v>
          </cell>
          <cell r="I1229">
            <v>40479</v>
          </cell>
        </row>
        <row r="1230">
          <cell r="A1230" t="str">
            <v>ZHANG XIAO NING</v>
          </cell>
          <cell r="B1230" t="str">
            <v>0 73517885</v>
          </cell>
          <cell r="C1230">
            <v>40058</v>
          </cell>
          <cell r="D1230" t="str">
            <v>WP LIVE</v>
          </cell>
          <cell r="E1230">
            <v>40793</v>
          </cell>
          <cell r="F1230" t="str">
            <v>TIER 2</v>
          </cell>
          <cell r="G1230" t="str">
            <v>UNSKILLED</v>
          </cell>
          <cell r="H1230">
            <v>400</v>
          </cell>
          <cell r="I1230">
            <v>40725</v>
          </cell>
        </row>
        <row r="1231">
          <cell r="A1231" t="str">
            <v>ZHANG XIAO QIN</v>
          </cell>
          <cell r="B1231" t="str">
            <v>0 74155979</v>
          </cell>
          <cell r="C1231">
            <v>40479</v>
          </cell>
          <cell r="D1231" t="str">
            <v>WP LIVE</v>
          </cell>
          <cell r="E1231">
            <v>41210</v>
          </cell>
          <cell r="F1231" t="str">
            <v>TIER 2</v>
          </cell>
          <cell r="G1231" t="str">
            <v>UNSKILLED</v>
          </cell>
          <cell r="H1231">
            <v>400</v>
          </cell>
          <cell r="I1231">
            <v>40479</v>
          </cell>
        </row>
        <row r="1232">
          <cell r="A1232" t="str">
            <v>ZHANG XUE QIN</v>
          </cell>
          <cell r="B1232" t="str">
            <v>0 74098746</v>
          </cell>
          <cell r="C1232">
            <v>40443</v>
          </cell>
          <cell r="D1232" t="str">
            <v>WP LIVE</v>
          </cell>
          <cell r="E1232">
            <v>41178</v>
          </cell>
          <cell r="F1232" t="str">
            <v>TIER 2</v>
          </cell>
          <cell r="G1232" t="str">
            <v>UNSKILLED</v>
          </cell>
          <cell r="H1232">
            <v>400</v>
          </cell>
          <cell r="I1232">
            <v>40725</v>
          </cell>
        </row>
        <row r="1233">
          <cell r="A1233" t="str">
            <v>ZHAO YUEBIN</v>
          </cell>
          <cell r="B1233" t="str">
            <v>0 56659439</v>
          </cell>
          <cell r="C1233">
            <v>39129</v>
          </cell>
          <cell r="D1233" t="str">
            <v>WP LIVE</v>
          </cell>
          <cell r="E1233">
            <v>40938</v>
          </cell>
          <cell r="F1233" t="str">
            <v>TIER 2</v>
          </cell>
          <cell r="G1233" t="str">
            <v>UNSKILLED</v>
          </cell>
          <cell r="H1233">
            <v>400</v>
          </cell>
          <cell r="I1233">
            <v>40725</v>
          </cell>
        </row>
        <row r="1234">
          <cell r="A1234" t="str">
            <v>ZHEN XIUFANG</v>
          </cell>
          <cell r="B1234" t="str">
            <v>0 73903149</v>
          </cell>
          <cell r="C1234">
            <v>40323</v>
          </cell>
          <cell r="D1234" t="str">
            <v>WP LIVE</v>
          </cell>
          <cell r="E1234">
            <v>41059</v>
          </cell>
          <cell r="F1234" t="str">
            <v>TIER 2</v>
          </cell>
          <cell r="G1234" t="str">
            <v>UNSKILLED</v>
          </cell>
          <cell r="H1234">
            <v>400</v>
          </cell>
          <cell r="I1234">
            <v>40323</v>
          </cell>
        </row>
        <row r="1235">
          <cell r="A1235" t="str">
            <v>ZHENG CHENGYUN</v>
          </cell>
          <cell r="B1235" t="str">
            <v>0 73461634</v>
          </cell>
          <cell r="C1235">
            <v>40007</v>
          </cell>
          <cell r="D1235" t="str">
            <v>WP LIVE</v>
          </cell>
          <cell r="E1235">
            <v>40737</v>
          </cell>
          <cell r="F1235" t="str">
            <v>TIER 2</v>
          </cell>
          <cell r="G1235" t="str">
            <v>UNSKILLED</v>
          </cell>
          <cell r="H1235">
            <v>400</v>
          </cell>
          <cell r="I1235">
            <v>40725</v>
          </cell>
        </row>
        <row r="1236">
          <cell r="A1236" t="str">
            <v>ZHENG ER CHENG</v>
          </cell>
          <cell r="B1236" t="str">
            <v>0 73818362</v>
          </cell>
          <cell r="C1236">
            <v>40281</v>
          </cell>
          <cell r="D1236" t="str">
            <v>WP LIVE</v>
          </cell>
          <cell r="E1236">
            <v>41013</v>
          </cell>
          <cell r="F1236" t="str">
            <v>TIER 2</v>
          </cell>
          <cell r="G1236" t="str">
            <v>UNSKILLED</v>
          </cell>
          <cell r="H1236">
            <v>400</v>
          </cell>
          <cell r="I1236">
            <v>40360</v>
          </cell>
        </row>
        <row r="1237">
          <cell r="A1237" t="str">
            <v>ZHENG YUNYING</v>
          </cell>
          <cell r="B1237" t="str">
            <v>0 72919807</v>
          </cell>
          <cell r="C1237">
            <v>40007</v>
          </cell>
          <cell r="D1237" t="str">
            <v>WP LIVE</v>
          </cell>
          <cell r="E1237">
            <v>40737</v>
          </cell>
          <cell r="F1237" t="str">
            <v>TIER 2</v>
          </cell>
          <cell r="G1237" t="str">
            <v>UNSKILLED</v>
          </cell>
          <cell r="H1237">
            <v>400</v>
          </cell>
          <cell r="I1237">
            <v>40725</v>
          </cell>
        </row>
        <row r="1238">
          <cell r="A1238" t="str">
            <v>ZHOU AIPING</v>
          </cell>
          <cell r="B1238" t="str">
            <v>0 73903165</v>
          </cell>
          <cell r="C1238">
            <v>40323</v>
          </cell>
          <cell r="D1238" t="str">
            <v>WP LIVE</v>
          </cell>
          <cell r="E1238">
            <v>41059</v>
          </cell>
          <cell r="F1238" t="str">
            <v>TIER 2</v>
          </cell>
          <cell r="G1238" t="str">
            <v>UNSKILLED</v>
          </cell>
          <cell r="H1238">
            <v>400</v>
          </cell>
          <cell r="I1238">
            <v>40323</v>
          </cell>
        </row>
        <row r="1239">
          <cell r="A1239" t="str">
            <v>ZHOU GUIJIAO</v>
          </cell>
          <cell r="B1239" t="str">
            <v>0 73449073</v>
          </cell>
          <cell r="C1239">
            <v>39993</v>
          </cell>
          <cell r="D1239" t="str">
            <v>WP LIVE</v>
          </cell>
          <cell r="E1239">
            <v>41454</v>
          </cell>
          <cell r="F1239" t="str">
            <v>TIER 2</v>
          </cell>
          <cell r="G1239" t="str">
            <v>UNSKILLED</v>
          </cell>
          <cell r="H1239">
            <v>400</v>
          </cell>
          <cell r="I1239">
            <v>40725</v>
          </cell>
        </row>
        <row r="1240">
          <cell r="A1240" t="str">
            <v>ZHU GUOLIAN</v>
          </cell>
          <cell r="B1240" t="str">
            <v>0 73836417</v>
          </cell>
          <cell r="C1240">
            <v>40289</v>
          </cell>
          <cell r="D1240" t="str">
            <v>WP LIVE</v>
          </cell>
          <cell r="E1240">
            <v>41021</v>
          </cell>
          <cell r="F1240" t="str">
            <v>TIER 2</v>
          </cell>
          <cell r="G1240" t="str">
            <v>UNSKILLED</v>
          </cell>
          <cell r="H1240">
            <v>400</v>
          </cell>
          <cell r="I1240">
            <v>40289</v>
          </cell>
        </row>
        <row r="1241">
          <cell r="A1241" t="str">
            <v>ZHU LI</v>
          </cell>
          <cell r="B1241" t="str">
            <v>0 7387128-</v>
          </cell>
          <cell r="C1241">
            <v>40308</v>
          </cell>
          <cell r="D1241" t="str">
            <v>WP LIVE</v>
          </cell>
          <cell r="E1241">
            <v>41244</v>
          </cell>
          <cell r="F1241" t="str">
            <v>TIER 2</v>
          </cell>
          <cell r="G1241" t="str">
            <v>UNSKILLED</v>
          </cell>
          <cell r="H1241">
            <v>400</v>
          </cell>
          <cell r="I1241">
            <v>40725</v>
          </cell>
        </row>
        <row r="1242">
          <cell r="A1242" t="str">
            <v>ZHU LI</v>
          </cell>
          <cell r="B1242" t="str">
            <v>0 73758394</v>
          </cell>
          <cell r="C1242">
            <v>40249</v>
          </cell>
          <cell r="D1242" t="str">
            <v>WP LIVE</v>
          </cell>
          <cell r="E1242">
            <v>40989</v>
          </cell>
          <cell r="F1242" t="str">
            <v>TIER 2</v>
          </cell>
          <cell r="G1242" t="str">
            <v>UNSKILLED</v>
          </cell>
          <cell r="H1242">
            <v>400</v>
          </cell>
          <cell r="I1242">
            <v>40249</v>
          </cell>
        </row>
        <row r="1243">
          <cell r="A1243" t="str">
            <v>ZHU QIAOXIA</v>
          </cell>
          <cell r="B1243" t="str">
            <v>0 73449243</v>
          </cell>
          <cell r="C1243">
            <v>39993</v>
          </cell>
          <cell r="D1243" t="str">
            <v>WP LIVE</v>
          </cell>
          <cell r="E1243">
            <v>41454</v>
          </cell>
          <cell r="F1243" t="str">
            <v>TIER 2</v>
          </cell>
          <cell r="G1243" t="str">
            <v>UNSKILLED</v>
          </cell>
          <cell r="H1243">
            <v>400</v>
          </cell>
          <cell r="I1243">
            <v>40725</v>
          </cell>
        </row>
        <row r="1244">
          <cell r="A1244" t="str">
            <v>ZHU XIANGQIN</v>
          </cell>
          <cell r="B1244" t="str">
            <v>0 72805577</v>
          </cell>
          <cell r="C1244">
            <v>39958</v>
          </cell>
          <cell r="D1244" t="str">
            <v>WP LIVE</v>
          </cell>
          <cell r="E1244">
            <v>41399</v>
          </cell>
          <cell r="F1244" t="str">
            <v>TIER 2</v>
          </cell>
          <cell r="G1244" t="str">
            <v>UNSKILLED</v>
          </cell>
          <cell r="H1244">
            <v>400</v>
          </cell>
          <cell r="I1244">
            <v>40725</v>
          </cell>
        </row>
        <row r="1245">
          <cell r="A1245" t="str">
            <v>ZULKARNAIN BIN AWANG KECHIL</v>
          </cell>
          <cell r="B1245" t="str">
            <v>5 11314348</v>
          </cell>
          <cell r="C1245">
            <v>40441</v>
          </cell>
          <cell r="D1245" t="str">
            <v>WP LIVE</v>
          </cell>
          <cell r="E1245">
            <v>41179</v>
          </cell>
          <cell r="F1245" t="str">
            <v>TIER 2</v>
          </cell>
          <cell r="G1245" t="str">
            <v>UNSKILLED</v>
          </cell>
          <cell r="H1245">
            <v>400</v>
          </cell>
          <cell r="I1245">
            <v>40725</v>
          </cell>
        </row>
        <row r="1246">
          <cell r="A1246" t="str">
            <v>A KASIAMAH A/P ARUMUGAM</v>
          </cell>
          <cell r="B1246" t="str">
            <v>3 45507183</v>
          </cell>
          <cell r="C1246">
            <v>40724</v>
          </cell>
          <cell r="D1246" t="str">
            <v>WP APPROVED</v>
          </cell>
          <cell r="F1246" t="str">
            <v>TIER 3</v>
          </cell>
          <cell r="G1246" t="str">
            <v>UNSKILLED</v>
          </cell>
          <cell r="H1246">
            <v>450</v>
          </cell>
          <cell r="I1246">
            <v>40725</v>
          </cell>
        </row>
        <row r="1247">
          <cell r="A1247" t="str">
            <v>A RAZLIN BIN ABD RAHIM</v>
          </cell>
          <cell r="B1247" t="str">
            <v>4 03072567</v>
          </cell>
          <cell r="C1247">
            <v>40640</v>
          </cell>
          <cell r="D1247" t="str">
            <v>WP LIVE</v>
          </cell>
          <cell r="E1247">
            <v>41261</v>
          </cell>
          <cell r="F1247" t="str">
            <v>TIER 3</v>
          </cell>
          <cell r="G1247" t="str">
            <v>UNSKILLED</v>
          </cell>
          <cell r="H1247">
            <v>450</v>
          </cell>
          <cell r="I1247">
            <v>40725</v>
          </cell>
        </row>
        <row r="1248">
          <cell r="A1248" t="str">
            <v>ABDUL AZIZ BIN DAUD</v>
          </cell>
          <cell r="B1248" t="str">
            <v>3 59220723</v>
          </cell>
          <cell r="C1248">
            <v>40689</v>
          </cell>
          <cell r="D1248" t="str">
            <v>WP LIVE</v>
          </cell>
          <cell r="E1248">
            <v>41382</v>
          </cell>
          <cell r="F1248" t="str">
            <v>TIER 3</v>
          </cell>
          <cell r="G1248" t="str">
            <v>UNSKILLED</v>
          </cell>
          <cell r="H1248">
            <v>450</v>
          </cell>
          <cell r="I1248">
            <v>40725</v>
          </cell>
        </row>
        <row r="1249">
          <cell r="A1249" t="str">
            <v>ABDUL HANA BIN SUKAJAT</v>
          </cell>
          <cell r="B1249" t="str">
            <v>4 03560847</v>
          </cell>
          <cell r="C1249">
            <v>40714</v>
          </cell>
          <cell r="D1249" t="str">
            <v>WP APPROVED</v>
          </cell>
          <cell r="F1249" t="str">
            <v>TIER 3</v>
          </cell>
          <cell r="G1249" t="str">
            <v>UNSKILLED</v>
          </cell>
          <cell r="H1249">
            <v>450</v>
          </cell>
          <cell r="I1249">
            <v>40725</v>
          </cell>
        </row>
        <row r="1250">
          <cell r="A1250" t="str">
            <v>ABDUL MALIK BIN M SINTA</v>
          </cell>
          <cell r="B1250" t="str">
            <v>3 59107641</v>
          </cell>
          <cell r="C1250">
            <v>40693</v>
          </cell>
          <cell r="D1250" t="str">
            <v>WP APPROVED</v>
          </cell>
          <cell r="F1250" t="str">
            <v>TIER 3</v>
          </cell>
          <cell r="G1250" t="str">
            <v>UNSKILLED</v>
          </cell>
          <cell r="H1250">
            <v>450</v>
          </cell>
          <cell r="I1250">
            <v>40725</v>
          </cell>
        </row>
        <row r="1251">
          <cell r="A1251" t="str">
            <v>ABDUL RAZAK BIN SALEH</v>
          </cell>
          <cell r="B1251" t="str">
            <v>5 33951856</v>
          </cell>
          <cell r="C1251">
            <v>40714</v>
          </cell>
          <cell r="D1251" t="str">
            <v>WP APPROVED</v>
          </cell>
          <cell r="F1251" t="str">
            <v>TIER 3</v>
          </cell>
          <cell r="G1251" t="str">
            <v>UNSKILLED</v>
          </cell>
          <cell r="H1251">
            <v>450</v>
          </cell>
          <cell r="I1251">
            <v>40725</v>
          </cell>
        </row>
        <row r="1252">
          <cell r="A1252" t="str">
            <v>ADHINARAYANA A/L RAMAYYA</v>
          </cell>
          <cell r="B1252" t="str">
            <v>3 63271251</v>
          </cell>
          <cell r="C1252">
            <v>40554</v>
          </cell>
          <cell r="D1252" t="str">
            <v>WP LIVE</v>
          </cell>
          <cell r="E1252">
            <v>41223</v>
          </cell>
          <cell r="F1252" t="str">
            <v>TIER 3</v>
          </cell>
          <cell r="G1252" t="str">
            <v>UNSKILLED</v>
          </cell>
          <cell r="H1252">
            <v>450</v>
          </cell>
          <cell r="I1252">
            <v>40725</v>
          </cell>
        </row>
        <row r="1253">
          <cell r="A1253" t="str">
            <v>AGILAN A/L SILVAKUMARAN</v>
          </cell>
          <cell r="B1253" t="str">
            <v>4 03351326</v>
          </cell>
          <cell r="C1253">
            <v>40574</v>
          </cell>
          <cell r="D1253" t="str">
            <v>WP LIVE</v>
          </cell>
          <cell r="E1253">
            <v>41318</v>
          </cell>
          <cell r="F1253" t="str">
            <v>TIER 3</v>
          </cell>
          <cell r="G1253" t="str">
            <v>UNSKILLED</v>
          </cell>
          <cell r="H1253">
            <v>450</v>
          </cell>
          <cell r="I1253">
            <v>40725</v>
          </cell>
        </row>
        <row r="1254">
          <cell r="A1254" t="str">
            <v>AINON BINTI MOHAMED REFEE</v>
          </cell>
          <cell r="B1254" t="str">
            <v>5 04948943</v>
          </cell>
          <cell r="C1254">
            <v>40634</v>
          </cell>
          <cell r="D1254" t="str">
            <v>WP LIVE</v>
          </cell>
          <cell r="E1254">
            <v>41288</v>
          </cell>
          <cell r="F1254" t="str">
            <v>TIER 3</v>
          </cell>
          <cell r="G1254" t="str">
            <v>UNSKILLED</v>
          </cell>
          <cell r="H1254">
            <v>450</v>
          </cell>
          <cell r="I1254">
            <v>40725</v>
          </cell>
        </row>
        <row r="1255">
          <cell r="A1255" t="str">
            <v>AMALATAH A/P SANTHARAN</v>
          </cell>
          <cell r="B1255" t="str">
            <v>4 03265403</v>
          </cell>
          <cell r="C1255">
            <v>40611</v>
          </cell>
          <cell r="D1255" t="str">
            <v>WP LIVE</v>
          </cell>
          <cell r="E1255">
            <v>40826</v>
          </cell>
          <cell r="F1255" t="str">
            <v>TIER 3</v>
          </cell>
          <cell r="G1255" t="str">
            <v>UNSKILLED</v>
          </cell>
          <cell r="H1255">
            <v>450</v>
          </cell>
          <cell r="I1255">
            <v>40725</v>
          </cell>
        </row>
        <row r="1256">
          <cell r="A1256" t="str">
            <v>AMIRRULLAH BIN SAHIM</v>
          </cell>
          <cell r="B1256" t="str">
            <v>4 03615129</v>
          </cell>
          <cell r="C1256">
            <v>40714</v>
          </cell>
          <cell r="D1256" t="str">
            <v>WP APPROVED</v>
          </cell>
          <cell r="F1256" t="str">
            <v>TIER 3</v>
          </cell>
          <cell r="G1256" t="str">
            <v>UNSKILLED</v>
          </cell>
          <cell r="H1256">
            <v>450</v>
          </cell>
          <cell r="I1256">
            <v>40725</v>
          </cell>
        </row>
        <row r="1257">
          <cell r="A1257" t="str">
            <v>AMMU A/P RAMACHANDRAN</v>
          </cell>
          <cell r="B1257" t="str">
            <v>4 01792511</v>
          </cell>
          <cell r="C1257">
            <v>40547</v>
          </cell>
          <cell r="D1257" t="str">
            <v>WP LIVE</v>
          </cell>
          <cell r="E1257">
            <v>40968</v>
          </cell>
          <cell r="F1257" t="str">
            <v>TIER 3</v>
          </cell>
          <cell r="G1257" t="str">
            <v>UNSKILLED</v>
          </cell>
          <cell r="H1257">
            <v>450</v>
          </cell>
          <cell r="I1257">
            <v>40725</v>
          </cell>
        </row>
        <row r="1258">
          <cell r="A1258" t="str">
            <v>AMUTHA A/P ELAN COVEN</v>
          </cell>
          <cell r="B1258" t="str">
            <v>5 15790411</v>
          </cell>
          <cell r="C1258">
            <v>40633</v>
          </cell>
          <cell r="D1258" t="str">
            <v>WP LIVE</v>
          </cell>
          <cell r="E1258">
            <v>41384</v>
          </cell>
          <cell r="F1258" t="str">
            <v>TIER 3</v>
          </cell>
          <cell r="G1258" t="str">
            <v>UNSKILLED</v>
          </cell>
          <cell r="H1258">
            <v>450</v>
          </cell>
          <cell r="I1258">
            <v>40725</v>
          </cell>
        </row>
        <row r="1259">
          <cell r="A1259" t="str">
            <v>ANADANI A/L SAMADEWAN</v>
          </cell>
          <cell r="B1259" t="str">
            <v>4 02725907</v>
          </cell>
          <cell r="C1259">
            <v>40682</v>
          </cell>
          <cell r="D1259" t="str">
            <v>WP LIVE</v>
          </cell>
          <cell r="E1259">
            <v>40950</v>
          </cell>
          <cell r="F1259" t="str">
            <v>TIER 3</v>
          </cell>
          <cell r="G1259" t="str">
            <v>UNSKILLED</v>
          </cell>
          <cell r="H1259">
            <v>450</v>
          </cell>
          <cell r="I1259">
            <v>40725</v>
          </cell>
        </row>
        <row r="1260">
          <cell r="A1260" t="str">
            <v>ANANTHAN A/L KRISHMAN</v>
          </cell>
          <cell r="B1260" t="str">
            <v>4 03754641</v>
          </cell>
          <cell r="C1260">
            <v>40654</v>
          </cell>
          <cell r="D1260" t="str">
            <v>WP LIVE</v>
          </cell>
          <cell r="E1260">
            <v>41334</v>
          </cell>
          <cell r="F1260" t="str">
            <v>TIER 3</v>
          </cell>
          <cell r="G1260" t="str">
            <v>UNSKILLED</v>
          </cell>
          <cell r="H1260">
            <v>450</v>
          </cell>
          <cell r="I1260">
            <v>40725</v>
          </cell>
        </row>
        <row r="1261">
          <cell r="A1261" t="str">
            <v>ANANTHAN A/L MANOKARAN</v>
          </cell>
          <cell r="B1261" t="str">
            <v>4 03784532</v>
          </cell>
          <cell r="C1261">
            <v>40679</v>
          </cell>
          <cell r="D1261" t="str">
            <v>WP LIVE</v>
          </cell>
          <cell r="E1261">
            <v>41375</v>
          </cell>
          <cell r="F1261" t="str">
            <v>TIER 3</v>
          </cell>
          <cell r="G1261" t="str">
            <v>UNSKILLED</v>
          </cell>
          <cell r="H1261">
            <v>450</v>
          </cell>
          <cell r="I1261">
            <v>40725</v>
          </cell>
        </row>
        <row r="1262">
          <cell r="A1262" t="str">
            <v>ANANTHI A/P D PARTHESI</v>
          </cell>
          <cell r="B1262" t="str">
            <v>5 21921676</v>
          </cell>
          <cell r="C1262">
            <v>40716</v>
          </cell>
          <cell r="D1262" t="str">
            <v>WP APPROVED</v>
          </cell>
          <cell r="F1262" t="str">
            <v>TIER 3</v>
          </cell>
          <cell r="G1262" t="str">
            <v>UNSKILLED</v>
          </cell>
          <cell r="H1262">
            <v>450</v>
          </cell>
          <cell r="I1262">
            <v>40725</v>
          </cell>
        </row>
        <row r="1263">
          <cell r="A1263" t="str">
            <v>ANAPURNI A/P RAJOO</v>
          </cell>
          <cell r="B1263" t="str">
            <v>4 02103531</v>
          </cell>
          <cell r="C1263">
            <v>40569</v>
          </cell>
          <cell r="D1263" t="str">
            <v>WP LIVE</v>
          </cell>
          <cell r="E1263">
            <v>41074</v>
          </cell>
          <cell r="F1263" t="str">
            <v>TIER 3</v>
          </cell>
          <cell r="G1263" t="str">
            <v>UNSKILLED</v>
          </cell>
          <cell r="H1263">
            <v>450</v>
          </cell>
          <cell r="I1263">
            <v>40725</v>
          </cell>
        </row>
        <row r="1264">
          <cell r="A1264" t="str">
            <v>ANATURAI A/L SUBRAMANIAM</v>
          </cell>
          <cell r="B1264" t="str">
            <v>4 03828874</v>
          </cell>
          <cell r="C1264">
            <v>40715</v>
          </cell>
          <cell r="D1264" t="str">
            <v>WP APPROVED</v>
          </cell>
          <cell r="F1264" t="str">
            <v>TIER 3</v>
          </cell>
          <cell r="G1264" t="str">
            <v>UNSKILLED</v>
          </cell>
          <cell r="H1264">
            <v>450</v>
          </cell>
          <cell r="I1264">
            <v>40725</v>
          </cell>
        </row>
        <row r="1265">
          <cell r="A1265" t="str">
            <v>ANBUARASAN A/L BATUMALAI</v>
          </cell>
          <cell r="B1265" t="str">
            <v>4 03786969</v>
          </cell>
          <cell r="C1265">
            <v>40710</v>
          </cell>
          <cell r="D1265" t="str">
            <v>WP LIVE</v>
          </cell>
          <cell r="E1265">
            <v>41380</v>
          </cell>
          <cell r="F1265" t="str">
            <v>TIER 3</v>
          </cell>
          <cell r="G1265" t="str">
            <v>UNSKILLED</v>
          </cell>
          <cell r="H1265">
            <v>450</v>
          </cell>
          <cell r="I1265">
            <v>40725</v>
          </cell>
        </row>
        <row r="1266">
          <cell r="A1266" t="str">
            <v>ANITHA A/P RAJAGOPAL</v>
          </cell>
          <cell r="B1266" t="str">
            <v>4 01516425</v>
          </cell>
          <cell r="C1266">
            <v>40707</v>
          </cell>
          <cell r="D1266" t="str">
            <v>WP APPROVED</v>
          </cell>
          <cell r="F1266" t="str">
            <v>TIER 3</v>
          </cell>
          <cell r="G1266" t="str">
            <v>UNSKILLED</v>
          </cell>
          <cell r="H1266">
            <v>450</v>
          </cell>
          <cell r="I1266">
            <v>40725</v>
          </cell>
        </row>
        <row r="1267">
          <cell r="A1267" t="str">
            <v>ANJALAI A/P GOPAL</v>
          </cell>
          <cell r="B1267" t="str">
            <v>5 26815033</v>
          </cell>
          <cell r="C1267">
            <v>40717</v>
          </cell>
          <cell r="D1267" t="str">
            <v>WP APPROVED</v>
          </cell>
          <cell r="F1267" t="str">
            <v>TIER 3</v>
          </cell>
          <cell r="G1267" t="str">
            <v>UNSKILLED</v>
          </cell>
          <cell r="H1267">
            <v>450</v>
          </cell>
          <cell r="I1267">
            <v>40725</v>
          </cell>
        </row>
        <row r="1268">
          <cell r="A1268" t="str">
            <v>ANJALAI A/P MUNIANDI</v>
          </cell>
          <cell r="B1268" t="str">
            <v>4 01366318</v>
          </cell>
          <cell r="C1268">
            <v>40553</v>
          </cell>
          <cell r="D1268" t="str">
            <v>WP LIVE</v>
          </cell>
          <cell r="E1268">
            <v>41192</v>
          </cell>
          <cell r="F1268" t="str">
            <v>TIER 3</v>
          </cell>
          <cell r="G1268" t="str">
            <v>UNSKILLED</v>
          </cell>
          <cell r="H1268">
            <v>450</v>
          </cell>
          <cell r="I1268">
            <v>40725</v>
          </cell>
        </row>
        <row r="1269">
          <cell r="A1269" t="str">
            <v>ANURATHA</v>
          </cell>
          <cell r="B1269" t="str">
            <v>4 03713589</v>
          </cell>
          <cell r="C1269">
            <v>40626</v>
          </cell>
          <cell r="D1269" t="str">
            <v>WP LIVE</v>
          </cell>
          <cell r="E1269">
            <v>41316</v>
          </cell>
          <cell r="F1269" t="str">
            <v>TIER 3</v>
          </cell>
          <cell r="G1269" t="str">
            <v>UNSKILLED</v>
          </cell>
          <cell r="H1269">
            <v>450</v>
          </cell>
          <cell r="I1269">
            <v>40725</v>
          </cell>
        </row>
        <row r="1270">
          <cell r="A1270" t="str">
            <v>ANUSILAH A/P KURISHUNUN</v>
          </cell>
          <cell r="B1270" t="str">
            <v>4 03568341</v>
          </cell>
          <cell r="C1270">
            <v>40693</v>
          </cell>
          <cell r="D1270" t="str">
            <v>WP LIVE</v>
          </cell>
          <cell r="E1270">
            <v>41160</v>
          </cell>
          <cell r="F1270" t="str">
            <v>TIER 3</v>
          </cell>
          <cell r="G1270" t="str">
            <v>UNSKILLED</v>
          </cell>
          <cell r="H1270">
            <v>450</v>
          </cell>
          <cell r="I1270">
            <v>40725</v>
          </cell>
        </row>
        <row r="1271">
          <cell r="A1271" t="str">
            <v>ARAVALLI A/P MUTHUVELU</v>
          </cell>
          <cell r="B1271" t="str">
            <v>5 14556075</v>
          </cell>
          <cell r="C1271">
            <v>40549</v>
          </cell>
          <cell r="D1271" t="str">
            <v>WP LIVE</v>
          </cell>
          <cell r="E1271">
            <v>41290</v>
          </cell>
          <cell r="F1271" t="str">
            <v>TIER 3</v>
          </cell>
          <cell r="G1271" t="str">
            <v>UNSKILLED</v>
          </cell>
          <cell r="H1271">
            <v>450</v>
          </cell>
          <cell r="I1271">
            <v>40725</v>
          </cell>
        </row>
        <row r="1272">
          <cell r="A1272" t="str">
            <v>ARUMUGAM A/L MANIAM</v>
          </cell>
          <cell r="B1272" t="str">
            <v>4 01023593</v>
          </cell>
          <cell r="C1272">
            <v>40617</v>
          </cell>
          <cell r="D1272" t="str">
            <v>WP LIVE</v>
          </cell>
          <cell r="E1272">
            <v>41357</v>
          </cell>
          <cell r="F1272" t="str">
            <v>TIER 3</v>
          </cell>
          <cell r="G1272" t="str">
            <v>UNSKILLED</v>
          </cell>
          <cell r="H1272">
            <v>450</v>
          </cell>
          <cell r="I1272">
            <v>40725</v>
          </cell>
        </row>
        <row r="1273">
          <cell r="A1273" t="str">
            <v>ARUMUGAM A/L MUNIANDY</v>
          </cell>
          <cell r="B1273" t="str">
            <v>4 03839493</v>
          </cell>
          <cell r="C1273">
            <v>40724</v>
          </cell>
          <cell r="D1273" t="str">
            <v>WP APPROVED</v>
          </cell>
          <cell r="F1273" t="str">
            <v>TIER 3</v>
          </cell>
          <cell r="G1273" t="str">
            <v>UNSKILLED</v>
          </cell>
          <cell r="H1273">
            <v>450</v>
          </cell>
          <cell r="I1273">
            <v>40725</v>
          </cell>
        </row>
        <row r="1274">
          <cell r="A1274" t="str">
            <v>ARUMUGAM A/L NADASAN</v>
          </cell>
          <cell r="B1274" t="str">
            <v>3 73825492</v>
          </cell>
          <cell r="C1274">
            <v>40683</v>
          </cell>
          <cell r="D1274" t="str">
            <v>WP LIVE</v>
          </cell>
          <cell r="E1274">
            <v>41339</v>
          </cell>
          <cell r="F1274" t="str">
            <v>TIER 3</v>
          </cell>
          <cell r="G1274" t="str">
            <v>UNSKILLED</v>
          </cell>
          <cell r="H1274">
            <v>450</v>
          </cell>
          <cell r="I1274">
            <v>40725</v>
          </cell>
        </row>
        <row r="1275">
          <cell r="A1275" t="str">
            <v>ARUMUGAM A/L RAJAGOPAL</v>
          </cell>
          <cell r="B1275" t="str">
            <v>4 00378045</v>
          </cell>
          <cell r="C1275">
            <v>40683</v>
          </cell>
          <cell r="D1275" t="str">
            <v>WP LIVE</v>
          </cell>
          <cell r="E1275">
            <v>41130</v>
          </cell>
          <cell r="F1275" t="str">
            <v>TIER 3</v>
          </cell>
          <cell r="G1275" t="str">
            <v>UNSKILLED</v>
          </cell>
          <cell r="H1275">
            <v>450</v>
          </cell>
          <cell r="I1275">
            <v>40725</v>
          </cell>
        </row>
        <row r="1276">
          <cell r="A1276" t="str">
            <v>ARUN DASS A/L FRANCIS</v>
          </cell>
          <cell r="B1276" t="str">
            <v>4 02754745</v>
          </cell>
          <cell r="C1276">
            <v>40682</v>
          </cell>
          <cell r="D1276" t="str">
            <v>WP LIVE</v>
          </cell>
          <cell r="E1276">
            <v>41433</v>
          </cell>
          <cell r="F1276" t="str">
            <v>TIER 3</v>
          </cell>
          <cell r="G1276" t="str">
            <v>UNSKILLED</v>
          </cell>
          <cell r="H1276">
            <v>450</v>
          </cell>
          <cell r="I1276">
            <v>40725</v>
          </cell>
        </row>
        <row r="1277">
          <cell r="A1277" t="str">
            <v>ASIAH BINTI MOHAMED SALLEH</v>
          </cell>
          <cell r="B1277" t="str">
            <v>5 00701366</v>
          </cell>
          <cell r="C1277">
            <v>40627</v>
          </cell>
          <cell r="D1277" t="str">
            <v>WP LIVE</v>
          </cell>
          <cell r="E1277">
            <v>40909</v>
          </cell>
          <cell r="F1277" t="str">
            <v>TIER 3</v>
          </cell>
          <cell r="G1277" t="str">
            <v>UNSKILLED</v>
          </cell>
          <cell r="H1277">
            <v>450</v>
          </cell>
          <cell r="I1277">
            <v>40725</v>
          </cell>
        </row>
        <row r="1278">
          <cell r="A1278" t="str">
            <v>ATHEE LETCHIMY A/P T MUNIANDY</v>
          </cell>
          <cell r="B1278" t="str">
            <v>3 69538330</v>
          </cell>
          <cell r="C1278">
            <v>40690</v>
          </cell>
          <cell r="D1278" t="str">
            <v>WP LIVE</v>
          </cell>
          <cell r="E1278">
            <v>41382</v>
          </cell>
          <cell r="F1278" t="str">
            <v>TIER 3</v>
          </cell>
          <cell r="G1278" t="str">
            <v>UNSKILLED</v>
          </cell>
          <cell r="H1278">
            <v>450</v>
          </cell>
          <cell r="I1278">
            <v>40725</v>
          </cell>
        </row>
        <row r="1279">
          <cell r="A1279" t="str">
            <v>AVARANAM A/P PUNNUSAMY</v>
          </cell>
          <cell r="B1279" t="str">
            <v>4 02663944</v>
          </cell>
          <cell r="C1279">
            <v>40521</v>
          </cell>
          <cell r="D1279" t="str">
            <v>WP LIVE</v>
          </cell>
          <cell r="E1279">
            <v>41131</v>
          </cell>
          <cell r="F1279" t="str">
            <v>TIER 3</v>
          </cell>
          <cell r="G1279" t="str">
            <v>UNSKILLED</v>
          </cell>
          <cell r="H1279">
            <v>450</v>
          </cell>
          <cell r="I1279">
            <v>40521</v>
          </cell>
        </row>
        <row r="1280">
          <cell r="A1280" t="str">
            <v>AYUB BIN AMAD</v>
          </cell>
          <cell r="B1280" t="str">
            <v>5 00719028</v>
          </cell>
          <cell r="C1280">
            <v>40638</v>
          </cell>
          <cell r="D1280" t="str">
            <v>WP LIVE</v>
          </cell>
          <cell r="E1280">
            <v>41371</v>
          </cell>
          <cell r="F1280" t="str">
            <v>TIER 3</v>
          </cell>
          <cell r="G1280" t="str">
            <v>UNSKILLED</v>
          </cell>
          <cell r="H1280">
            <v>450</v>
          </cell>
          <cell r="I1280">
            <v>40725</v>
          </cell>
        </row>
        <row r="1281">
          <cell r="A1281" t="str">
            <v>AZIZAH BINTI AHMAD</v>
          </cell>
          <cell r="B1281" t="str">
            <v>5 33136990</v>
          </cell>
          <cell r="C1281">
            <v>40637</v>
          </cell>
          <cell r="D1281" t="str">
            <v>WP LIVE</v>
          </cell>
          <cell r="E1281">
            <v>41327</v>
          </cell>
          <cell r="F1281" t="str">
            <v>TIER 3</v>
          </cell>
          <cell r="G1281" t="str">
            <v>UNSKILLED</v>
          </cell>
          <cell r="H1281">
            <v>450</v>
          </cell>
          <cell r="I1281">
            <v>40725</v>
          </cell>
        </row>
        <row r="1282">
          <cell r="A1282" t="str">
            <v>AZMAN BIN ABU BAKAR</v>
          </cell>
          <cell r="B1282" t="str">
            <v>5 31275845</v>
          </cell>
          <cell r="C1282">
            <v>40527</v>
          </cell>
          <cell r="D1282" t="str">
            <v>WP LIVE</v>
          </cell>
          <cell r="E1282">
            <v>41226</v>
          </cell>
          <cell r="F1282" t="str">
            <v>TIER 3</v>
          </cell>
          <cell r="G1282" t="str">
            <v>UNSKILLED</v>
          </cell>
          <cell r="H1282">
            <v>450</v>
          </cell>
          <cell r="I1282">
            <v>40725</v>
          </cell>
        </row>
        <row r="1283">
          <cell r="A1283" t="str">
            <v>BALA SUBERAMANIAM A/L DANA BALAN</v>
          </cell>
          <cell r="B1283" t="str">
            <v>5 33992196</v>
          </cell>
          <cell r="C1283">
            <v>40561</v>
          </cell>
          <cell r="D1283" t="str">
            <v>WP LIVE</v>
          </cell>
          <cell r="E1283">
            <v>41305</v>
          </cell>
          <cell r="F1283" t="str">
            <v>TIER 3</v>
          </cell>
          <cell r="G1283" t="str">
            <v>UNSKILLED</v>
          </cell>
          <cell r="H1283">
            <v>450</v>
          </cell>
          <cell r="I1283">
            <v>40725</v>
          </cell>
        </row>
        <row r="1284">
          <cell r="A1284" t="str">
            <v>BALAN A/L MUNIANDY</v>
          </cell>
          <cell r="B1284" t="str">
            <v>5 28424538</v>
          </cell>
          <cell r="C1284">
            <v>40554</v>
          </cell>
          <cell r="D1284" t="str">
            <v>WP LIVE</v>
          </cell>
          <cell r="E1284">
            <v>41294</v>
          </cell>
          <cell r="F1284" t="str">
            <v>TIER 3</v>
          </cell>
          <cell r="G1284" t="str">
            <v>UNSKILLED</v>
          </cell>
          <cell r="H1284">
            <v>450</v>
          </cell>
          <cell r="I1284">
            <v>40725</v>
          </cell>
        </row>
        <row r="1285">
          <cell r="A1285" t="str">
            <v>BAO JIE</v>
          </cell>
          <cell r="B1285" t="str">
            <v>0 7443620-</v>
          </cell>
          <cell r="C1285">
            <v>40669</v>
          </cell>
          <cell r="D1285" t="str">
            <v>WP LIVE</v>
          </cell>
          <cell r="E1285">
            <v>41405</v>
          </cell>
          <cell r="F1285" t="str">
            <v>TIER 3</v>
          </cell>
          <cell r="G1285" t="str">
            <v>UNSKILLED</v>
          </cell>
          <cell r="H1285">
            <v>450</v>
          </cell>
          <cell r="I1285">
            <v>40725</v>
          </cell>
        </row>
        <row r="1286">
          <cell r="A1286" t="str">
            <v>BATHMAPATHY A/P THANGAVALU</v>
          </cell>
          <cell r="B1286" t="str">
            <v>5 28497810</v>
          </cell>
          <cell r="C1286">
            <v>40715</v>
          </cell>
          <cell r="D1286" t="str">
            <v>WP APPROVED</v>
          </cell>
          <cell r="F1286" t="str">
            <v>TIER 3</v>
          </cell>
          <cell r="G1286" t="str">
            <v>UNSKILLED</v>
          </cell>
          <cell r="H1286">
            <v>450</v>
          </cell>
          <cell r="I1286">
            <v>40725</v>
          </cell>
        </row>
        <row r="1287">
          <cell r="A1287" t="str">
            <v>BAVANI A/P M KRISNA</v>
          </cell>
          <cell r="B1287" t="str">
            <v>5 39035789</v>
          </cell>
          <cell r="C1287">
            <v>40640</v>
          </cell>
          <cell r="D1287" t="str">
            <v>WP LIVE</v>
          </cell>
          <cell r="E1287">
            <v>41382</v>
          </cell>
          <cell r="F1287" t="str">
            <v>TIER 3</v>
          </cell>
          <cell r="G1287" t="str">
            <v>UNSKILLED</v>
          </cell>
          <cell r="H1287">
            <v>450</v>
          </cell>
          <cell r="I1287">
            <v>40725</v>
          </cell>
        </row>
        <row r="1288">
          <cell r="A1288" t="str">
            <v>BAVANI A/P THANGARAJU</v>
          </cell>
          <cell r="B1288" t="str">
            <v>4 01538917</v>
          </cell>
          <cell r="C1288">
            <v>40715</v>
          </cell>
          <cell r="D1288" t="str">
            <v>WP APPROVED</v>
          </cell>
          <cell r="F1288" t="str">
            <v>TIER 3</v>
          </cell>
          <cell r="G1288" t="str">
            <v>UNSKILLED</v>
          </cell>
          <cell r="H1288">
            <v>450</v>
          </cell>
          <cell r="I1288">
            <v>40725</v>
          </cell>
        </row>
        <row r="1289">
          <cell r="A1289" t="str">
            <v>BAWANY A/P KUMARAVEL</v>
          </cell>
          <cell r="B1289" t="str">
            <v>4 03138290</v>
          </cell>
          <cell r="C1289">
            <v>40717</v>
          </cell>
          <cell r="D1289" t="str">
            <v>WP APPROVED</v>
          </cell>
          <cell r="F1289" t="str">
            <v>TIER 3</v>
          </cell>
          <cell r="G1289" t="str">
            <v>UNSKILLED</v>
          </cell>
          <cell r="H1289">
            <v>450</v>
          </cell>
          <cell r="I1289">
            <v>40725</v>
          </cell>
        </row>
        <row r="1290">
          <cell r="A1290" t="str">
            <v>BEH NAM TAT</v>
          </cell>
          <cell r="B1290" t="str">
            <v>4 03749516</v>
          </cell>
          <cell r="C1290">
            <v>40651</v>
          </cell>
          <cell r="D1290" t="str">
            <v>WP LIVE</v>
          </cell>
          <cell r="E1290">
            <v>41192</v>
          </cell>
          <cell r="F1290" t="str">
            <v>TIER 3</v>
          </cell>
          <cell r="G1290" t="str">
            <v>UNSKILLED</v>
          </cell>
          <cell r="H1290">
            <v>450</v>
          </cell>
          <cell r="I1290">
            <v>40725</v>
          </cell>
        </row>
        <row r="1291">
          <cell r="A1291" t="str">
            <v>BHARATHI A/P P MURUGASAN</v>
          </cell>
          <cell r="B1291" t="str">
            <v>5 11870682</v>
          </cell>
          <cell r="C1291">
            <v>40708</v>
          </cell>
          <cell r="D1291" t="str">
            <v>WP LIVE</v>
          </cell>
          <cell r="E1291">
            <v>41375</v>
          </cell>
          <cell r="F1291" t="str">
            <v>TIER 3</v>
          </cell>
          <cell r="G1291" t="str">
            <v>UNSKILLED</v>
          </cell>
          <cell r="H1291">
            <v>450</v>
          </cell>
          <cell r="I1291">
            <v>40725</v>
          </cell>
        </row>
        <row r="1292">
          <cell r="A1292" t="str">
            <v>CAI PEI HUA</v>
          </cell>
          <cell r="B1292" t="str">
            <v>0 74277462</v>
          </cell>
          <cell r="C1292">
            <v>40567</v>
          </cell>
          <cell r="D1292" t="str">
            <v>WP LIVE</v>
          </cell>
          <cell r="E1292">
            <v>41298</v>
          </cell>
          <cell r="F1292" t="str">
            <v>TIER 3</v>
          </cell>
          <cell r="G1292" t="str">
            <v>UNSKILLED</v>
          </cell>
          <cell r="H1292">
            <v>450</v>
          </cell>
          <cell r="I1292">
            <v>40725</v>
          </cell>
        </row>
        <row r="1293">
          <cell r="A1293" t="str">
            <v>CHANDRA SEGARAN A/L RAMAN</v>
          </cell>
          <cell r="B1293" t="str">
            <v>5 17370304</v>
          </cell>
          <cell r="C1293">
            <v>40714</v>
          </cell>
          <cell r="D1293" t="str">
            <v>WP APPROVED</v>
          </cell>
          <cell r="F1293" t="str">
            <v>TIER 3</v>
          </cell>
          <cell r="G1293" t="str">
            <v>UNSKILLED</v>
          </cell>
          <cell r="H1293">
            <v>450</v>
          </cell>
          <cell r="I1293">
            <v>40725</v>
          </cell>
        </row>
        <row r="1294">
          <cell r="A1294" t="str">
            <v>CHANDREN A/L ARUMUGAM</v>
          </cell>
          <cell r="B1294" t="str">
            <v>4 0236453-</v>
          </cell>
          <cell r="C1294">
            <v>40717</v>
          </cell>
          <cell r="D1294" t="str">
            <v>WP APPROVED</v>
          </cell>
          <cell r="F1294" t="str">
            <v>TIER 3</v>
          </cell>
          <cell r="G1294" t="str">
            <v>UNSKILLED</v>
          </cell>
          <cell r="H1294">
            <v>450</v>
          </cell>
          <cell r="I1294">
            <v>40725</v>
          </cell>
        </row>
        <row r="1295">
          <cell r="A1295" t="str">
            <v>CHE PUTEH BINTI SAAD</v>
          </cell>
          <cell r="B1295" t="str">
            <v>3 71687033</v>
          </cell>
          <cell r="C1295">
            <v>40583</v>
          </cell>
          <cell r="D1295" t="str">
            <v>WP LIVE</v>
          </cell>
          <cell r="E1295">
            <v>41255</v>
          </cell>
          <cell r="F1295" t="str">
            <v>TIER 3</v>
          </cell>
          <cell r="G1295" t="str">
            <v>UNSKILLED</v>
          </cell>
          <cell r="H1295">
            <v>450</v>
          </cell>
          <cell r="I1295">
            <v>40725</v>
          </cell>
        </row>
        <row r="1296">
          <cell r="A1296" t="str">
            <v>CHE RABIAH BINTI NIK MAT</v>
          </cell>
          <cell r="B1296" t="str">
            <v>5 21581166</v>
          </cell>
          <cell r="C1296">
            <v>40718</v>
          </cell>
          <cell r="D1296" t="str">
            <v>WP APPROVED</v>
          </cell>
          <cell r="F1296" t="str">
            <v>TIER 3</v>
          </cell>
          <cell r="G1296" t="str">
            <v>UNSKILLED</v>
          </cell>
          <cell r="H1296">
            <v>450</v>
          </cell>
          <cell r="I1296">
            <v>40725</v>
          </cell>
        </row>
        <row r="1297">
          <cell r="A1297" t="str">
            <v>CHEANG CHUN LOI</v>
          </cell>
          <cell r="B1297" t="str">
            <v>5 01141550</v>
          </cell>
          <cell r="C1297">
            <v>40513</v>
          </cell>
          <cell r="D1297" t="str">
            <v>WP LIVE</v>
          </cell>
          <cell r="E1297">
            <v>41259</v>
          </cell>
          <cell r="F1297" t="str">
            <v>TIER 3</v>
          </cell>
          <cell r="G1297" t="str">
            <v>UNSKILLED</v>
          </cell>
          <cell r="H1297">
            <v>450</v>
          </cell>
          <cell r="I1297">
            <v>40725</v>
          </cell>
        </row>
        <row r="1298">
          <cell r="A1298" t="str">
            <v>CHEN DONG YUN</v>
          </cell>
          <cell r="B1298" t="str">
            <v>0 74277241</v>
          </cell>
          <cell r="C1298">
            <v>40567</v>
          </cell>
          <cell r="D1298" t="str">
            <v>WP LIVE</v>
          </cell>
          <cell r="E1298">
            <v>41298</v>
          </cell>
          <cell r="F1298" t="str">
            <v>TIER 3</v>
          </cell>
          <cell r="G1298" t="str">
            <v>UNSKILLED</v>
          </cell>
          <cell r="H1298">
            <v>450</v>
          </cell>
          <cell r="I1298">
            <v>40725</v>
          </cell>
        </row>
        <row r="1299">
          <cell r="A1299" t="str">
            <v>CHEN HONG ZE</v>
          </cell>
          <cell r="B1299" t="str">
            <v>0 74245781</v>
          </cell>
          <cell r="C1299">
            <v>40542</v>
          </cell>
          <cell r="D1299" t="str">
            <v>WP LIVE</v>
          </cell>
          <cell r="E1299">
            <v>41276</v>
          </cell>
          <cell r="F1299" t="str">
            <v>TIER 3</v>
          </cell>
          <cell r="G1299" t="str">
            <v>UNSKILLED</v>
          </cell>
          <cell r="H1299">
            <v>450</v>
          </cell>
          <cell r="I1299">
            <v>40725</v>
          </cell>
        </row>
        <row r="1300">
          <cell r="A1300" t="str">
            <v>CHEN JUAN</v>
          </cell>
          <cell r="B1300" t="str">
            <v>0 74414273</v>
          </cell>
          <cell r="C1300">
            <v>40654</v>
          </cell>
          <cell r="D1300" t="str">
            <v>WP LIVE</v>
          </cell>
          <cell r="E1300">
            <v>41392</v>
          </cell>
          <cell r="F1300" t="str">
            <v>TIER 3</v>
          </cell>
          <cell r="G1300" t="str">
            <v>UNSKILLED</v>
          </cell>
          <cell r="H1300">
            <v>450</v>
          </cell>
          <cell r="I1300">
            <v>40725</v>
          </cell>
        </row>
        <row r="1301">
          <cell r="A1301" t="str">
            <v>CHEN WAI CHAN</v>
          </cell>
          <cell r="B1301" t="str">
            <v>3 62075726</v>
          </cell>
          <cell r="C1301">
            <v>40686</v>
          </cell>
          <cell r="D1301" t="str">
            <v>WP LIVE</v>
          </cell>
          <cell r="E1301">
            <v>41230</v>
          </cell>
          <cell r="F1301" t="str">
            <v>TIER 3</v>
          </cell>
          <cell r="G1301" t="str">
            <v>UNSKILLED</v>
          </cell>
          <cell r="H1301">
            <v>450</v>
          </cell>
          <cell r="I1301">
            <v>40725</v>
          </cell>
        </row>
        <row r="1302">
          <cell r="A1302" t="str">
            <v>CHENG LIANGXIA</v>
          </cell>
          <cell r="B1302" t="str">
            <v>0 74331696</v>
          </cell>
          <cell r="C1302">
            <v>40611</v>
          </cell>
          <cell r="D1302" t="str">
            <v>WP LIVE</v>
          </cell>
          <cell r="E1302">
            <v>41347</v>
          </cell>
          <cell r="F1302" t="str">
            <v>TIER 3</v>
          </cell>
          <cell r="G1302" t="str">
            <v>UNSKILLED</v>
          </cell>
          <cell r="H1302">
            <v>450</v>
          </cell>
          <cell r="I1302">
            <v>40725</v>
          </cell>
        </row>
        <row r="1303">
          <cell r="A1303" t="str">
            <v>CHETRA A/P A PALANIANDY</v>
          </cell>
          <cell r="B1303" t="str">
            <v>4 00660840</v>
          </cell>
          <cell r="C1303">
            <v>40723</v>
          </cell>
          <cell r="D1303" t="str">
            <v>WP APPROVED</v>
          </cell>
          <cell r="F1303" t="str">
            <v>TIER 3</v>
          </cell>
          <cell r="G1303" t="str">
            <v>UNSKILLED</v>
          </cell>
          <cell r="H1303">
            <v>450</v>
          </cell>
          <cell r="I1303">
            <v>40725</v>
          </cell>
        </row>
        <row r="1304">
          <cell r="A1304" t="str">
            <v>CHIN AH PING</v>
          </cell>
          <cell r="B1304" t="str">
            <v>4 03775835</v>
          </cell>
          <cell r="C1304">
            <v>40673</v>
          </cell>
          <cell r="D1304" t="str">
            <v>WP LIVE</v>
          </cell>
          <cell r="E1304">
            <v>41313</v>
          </cell>
          <cell r="F1304" t="str">
            <v>TIER 3</v>
          </cell>
          <cell r="G1304" t="str">
            <v>UNSKILLED</v>
          </cell>
          <cell r="H1304">
            <v>450</v>
          </cell>
          <cell r="I1304">
            <v>40725</v>
          </cell>
        </row>
        <row r="1305">
          <cell r="A1305" t="str">
            <v>CHIN KOK WAI</v>
          </cell>
          <cell r="B1305" t="str">
            <v>4 03679097</v>
          </cell>
          <cell r="C1305">
            <v>40673</v>
          </cell>
          <cell r="D1305" t="str">
            <v>WP LIVE</v>
          </cell>
          <cell r="E1305">
            <v>41299</v>
          </cell>
          <cell r="F1305" t="str">
            <v>TIER 3</v>
          </cell>
          <cell r="G1305" t="str">
            <v>UNSKILLED</v>
          </cell>
          <cell r="H1305">
            <v>450</v>
          </cell>
          <cell r="I1305">
            <v>40725</v>
          </cell>
        </row>
        <row r="1306">
          <cell r="A1306" t="str">
            <v>CHITRA A/P R GANGAIAH</v>
          </cell>
          <cell r="B1306" t="str">
            <v>5 3189975-</v>
          </cell>
          <cell r="C1306">
            <v>40525</v>
          </cell>
          <cell r="D1306" t="str">
            <v>WP LIVE</v>
          </cell>
          <cell r="E1306">
            <v>41197</v>
          </cell>
          <cell r="F1306" t="str">
            <v>TIER 3</v>
          </cell>
          <cell r="G1306" t="str">
            <v>UNSKILLED</v>
          </cell>
          <cell r="H1306">
            <v>450</v>
          </cell>
          <cell r="I1306">
            <v>40725</v>
          </cell>
        </row>
        <row r="1307">
          <cell r="A1307" t="str">
            <v>CHITRA PAURNI A/P DORAISAMY</v>
          </cell>
          <cell r="B1307" t="str">
            <v>4 00091137</v>
          </cell>
          <cell r="C1307">
            <v>40660</v>
          </cell>
          <cell r="D1307" t="str">
            <v>WP LIVE</v>
          </cell>
          <cell r="E1307">
            <v>40916</v>
          </cell>
          <cell r="F1307" t="str">
            <v>TIER 3</v>
          </cell>
          <cell r="G1307" t="str">
            <v>UNSKILLED</v>
          </cell>
          <cell r="H1307">
            <v>450</v>
          </cell>
          <cell r="I1307">
            <v>40725</v>
          </cell>
        </row>
        <row r="1308">
          <cell r="A1308" t="str">
            <v>CHONG SEOW KONG</v>
          </cell>
          <cell r="B1308" t="str">
            <v>8 93499946</v>
          </cell>
          <cell r="C1308">
            <v>40714</v>
          </cell>
          <cell r="D1308" t="str">
            <v>WP LIVE</v>
          </cell>
          <cell r="E1308">
            <v>41337</v>
          </cell>
          <cell r="F1308" t="str">
            <v>TIER 3</v>
          </cell>
          <cell r="G1308" t="str">
            <v>UNSKILLED</v>
          </cell>
          <cell r="H1308">
            <v>450</v>
          </cell>
          <cell r="I1308">
            <v>40725</v>
          </cell>
        </row>
        <row r="1309">
          <cell r="A1309" t="str">
            <v>CITRA A/P SUPRAMANIAM</v>
          </cell>
          <cell r="B1309" t="str">
            <v>5 29711336</v>
          </cell>
          <cell r="C1309">
            <v>40554</v>
          </cell>
          <cell r="D1309" t="str">
            <v>WP LIVE</v>
          </cell>
          <cell r="E1309">
            <v>41100</v>
          </cell>
          <cell r="F1309" t="str">
            <v>TIER 3</v>
          </cell>
          <cell r="G1309" t="str">
            <v>UNSKILLED</v>
          </cell>
          <cell r="H1309">
            <v>450</v>
          </cell>
          <cell r="I1309">
            <v>40725</v>
          </cell>
        </row>
        <row r="1310">
          <cell r="A1310" t="str">
            <v>CLEMENT A/L EDWARD</v>
          </cell>
          <cell r="B1310" t="str">
            <v>4 0382836-</v>
          </cell>
          <cell r="C1310">
            <v>40715</v>
          </cell>
          <cell r="D1310" t="str">
            <v>WP APPROVED</v>
          </cell>
          <cell r="F1310" t="str">
            <v>TIER 3</v>
          </cell>
          <cell r="G1310" t="str">
            <v>UNSKILLED</v>
          </cell>
          <cell r="H1310">
            <v>450</v>
          </cell>
          <cell r="I1310">
            <v>40725</v>
          </cell>
        </row>
        <row r="1311">
          <cell r="A1311" t="str">
            <v>CUI QIHUAI</v>
          </cell>
          <cell r="B1311" t="str">
            <v>0 74287085</v>
          </cell>
          <cell r="C1311">
            <v>40575</v>
          </cell>
          <cell r="D1311" t="str">
            <v>WP LIVE</v>
          </cell>
          <cell r="E1311">
            <v>41320</v>
          </cell>
          <cell r="F1311" t="str">
            <v>TIER 3</v>
          </cell>
          <cell r="G1311" t="str">
            <v>UNSKILLED</v>
          </cell>
          <cell r="H1311">
            <v>450</v>
          </cell>
          <cell r="I1311">
            <v>40725</v>
          </cell>
        </row>
        <row r="1312">
          <cell r="A1312" t="str">
            <v>DAEVAENTHIRAN A/L RAJENDRAN</v>
          </cell>
          <cell r="B1312" t="str">
            <v>4 03613711</v>
          </cell>
          <cell r="C1312">
            <v>40697</v>
          </cell>
          <cell r="D1312" t="str">
            <v>WP LIVE</v>
          </cell>
          <cell r="E1312">
            <v>41221</v>
          </cell>
          <cell r="F1312" t="str">
            <v>TIER 3</v>
          </cell>
          <cell r="G1312" t="str">
            <v>UNSKILLED</v>
          </cell>
          <cell r="H1312">
            <v>450</v>
          </cell>
          <cell r="I1312">
            <v>40725</v>
          </cell>
        </row>
        <row r="1313">
          <cell r="A1313" t="str">
            <v>DALELA ANAK MAMONG</v>
          </cell>
          <cell r="B1313" t="str">
            <v>8 95076694</v>
          </cell>
          <cell r="C1313">
            <v>40590</v>
          </cell>
          <cell r="D1313" t="str">
            <v>WP LIVE</v>
          </cell>
          <cell r="E1313">
            <v>41281</v>
          </cell>
          <cell r="F1313" t="str">
            <v>TIER 3</v>
          </cell>
          <cell r="G1313" t="str">
            <v>UNSKILLED</v>
          </cell>
          <cell r="H1313">
            <v>450</v>
          </cell>
          <cell r="I1313">
            <v>40725</v>
          </cell>
        </row>
        <row r="1314">
          <cell r="A1314" t="str">
            <v>DANAM A/P SUBARMANIAM</v>
          </cell>
          <cell r="B1314" t="str">
            <v>5 25456390</v>
          </cell>
          <cell r="C1314">
            <v>40719</v>
          </cell>
          <cell r="D1314" t="str">
            <v>WP APPROVED</v>
          </cell>
          <cell r="F1314" t="str">
            <v>TIER 3</v>
          </cell>
          <cell r="G1314" t="str">
            <v>UNSKILLED</v>
          </cell>
          <cell r="H1314">
            <v>450</v>
          </cell>
          <cell r="I1314">
            <v>40725</v>
          </cell>
        </row>
        <row r="1315">
          <cell r="A1315" t="str">
            <v>DANAMUGESPRY A/P SUBRAMANIAM</v>
          </cell>
          <cell r="B1315" t="str">
            <v>4 03749923</v>
          </cell>
          <cell r="C1315">
            <v>40651</v>
          </cell>
          <cell r="D1315" t="str">
            <v>WP LIVE</v>
          </cell>
          <cell r="E1315">
            <v>41396</v>
          </cell>
          <cell r="F1315" t="str">
            <v>TIER 3</v>
          </cell>
          <cell r="G1315" t="str">
            <v>UNSKILLED</v>
          </cell>
          <cell r="H1315">
            <v>450</v>
          </cell>
          <cell r="I1315">
            <v>40725</v>
          </cell>
        </row>
        <row r="1316">
          <cell r="A1316" t="str">
            <v>DARWISAH BINTI ABDUL WAHID</v>
          </cell>
          <cell r="B1316" t="str">
            <v>5 0005381-</v>
          </cell>
          <cell r="C1316">
            <v>40697</v>
          </cell>
          <cell r="D1316" t="str">
            <v>WP LIVE</v>
          </cell>
          <cell r="E1316">
            <v>41370</v>
          </cell>
          <cell r="F1316" t="str">
            <v>TIER 3</v>
          </cell>
          <cell r="G1316" t="str">
            <v>UNSKILLED</v>
          </cell>
          <cell r="H1316">
            <v>450</v>
          </cell>
          <cell r="I1316">
            <v>40725</v>
          </cell>
        </row>
        <row r="1317">
          <cell r="A1317" t="str">
            <v>DAVI A/P KOLANDAI RAJOO</v>
          </cell>
          <cell r="B1317" t="str">
            <v>3 60978362</v>
          </cell>
          <cell r="C1317">
            <v>40659</v>
          </cell>
          <cell r="D1317" t="str">
            <v>WP LIVE</v>
          </cell>
          <cell r="E1317">
            <v>41151</v>
          </cell>
          <cell r="F1317" t="str">
            <v>TIER 3</v>
          </cell>
          <cell r="G1317" t="str">
            <v>UNSKILLED</v>
          </cell>
          <cell r="H1317">
            <v>450</v>
          </cell>
          <cell r="I1317">
            <v>40725</v>
          </cell>
        </row>
        <row r="1318">
          <cell r="A1318" t="str">
            <v>DEIVANAIIL A/P ARUMUGAM</v>
          </cell>
          <cell r="B1318" t="str">
            <v>5 36430040</v>
          </cell>
          <cell r="C1318">
            <v>40619</v>
          </cell>
          <cell r="D1318" t="str">
            <v>WP LIVE</v>
          </cell>
          <cell r="E1318">
            <v>41356</v>
          </cell>
          <cell r="F1318" t="str">
            <v>TIER 3</v>
          </cell>
          <cell r="G1318" t="str">
            <v>UNSKILLED</v>
          </cell>
          <cell r="H1318">
            <v>450</v>
          </cell>
          <cell r="I1318">
            <v>40725</v>
          </cell>
        </row>
        <row r="1319">
          <cell r="A1319" t="str">
            <v>DENNIS</v>
          </cell>
          <cell r="B1319" t="str">
            <v>5 16992174</v>
          </cell>
          <cell r="C1319">
            <v>40661</v>
          </cell>
          <cell r="D1319" t="str">
            <v>WP LIVE</v>
          </cell>
          <cell r="E1319">
            <v>41351</v>
          </cell>
          <cell r="F1319" t="str">
            <v>TIER 3</v>
          </cell>
          <cell r="G1319" t="str">
            <v>UNSKILLED</v>
          </cell>
          <cell r="H1319">
            <v>450</v>
          </cell>
          <cell r="I1319">
            <v>40661</v>
          </cell>
        </row>
        <row r="1320">
          <cell r="A1320" t="str">
            <v>DEVAGI A/P MARUDAPPAN</v>
          </cell>
          <cell r="B1320" t="str">
            <v>4 0333944-</v>
          </cell>
          <cell r="C1320">
            <v>40651</v>
          </cell>
          <cell r="D1320" t="str">
            <v>WP LIVE</v>
          </cell>
          <cell r="E1320">
            <v>41398</v>
          </cell>
          <cell r="F1320" t="str">
            <v>TIER 3</v>
          </cell>
          <cell r="G1320" t="str">
            <v>UNSKILLED</v>
          </cell>
          <cell r="H1320">
            <v>450</v>
          </cell>
          <cell r="I1320">
            <v>40725</v>
          </cell>
        </row>
        <row r="1321">
          <cell r="A1321" t="str">
            <v>DEVAKAI A/P THANNIMALAY</v>
          </cell>
          <cell r="B1321" t="str">
            <v>3 70490295</v>
          </cell>
          <cell r="C1321">
            <v>40612</v>
          </cell>
          <cell r="D1321" t="str">
            <v>WP LIVE</v>
          </cell>
          <cell r="E1321">
            <v>41016</v>
          </cell>
          <cell r="F1321" t="str">
            <v>TIER 3</v>
          </cell>
          <cell r="G1321" t="str">
            <v>UNSKILLED</v>
          </cell>
          <cell r="H1321">
            <v>450</v>
          </cell>
          <cell r="I1321">
            <v>40725</v>
          </cell>
        </row>
        <row r="1322">
          <cell r="A1322" t="str">
            <v>DEVATHI A/P SANDARA</v>
          </cell>
          <cell r="B1322" t="str">
            <v>4 00794650</v>
          </cell>
          <cell r="C1322">
            <v>40728</v>
          </cell>
          <cell r="D1322" t="str">
            <v>WP APPROVED</v>
          </cell>
          <cell r="F1322" t="str">
            <v>TIER 3</v>
          </cell>
          <cell r="G1322" t="str">
            <v>UNSKILLED</v>
          </cell>
          <cell r="H1322">
            <v>450</v>
          </cell>
          <cell r="I1322">
            <v>40728</v>
          </cell>
        </row>
        <row r="1323">
          <cell r="A1323" t="str">
            <v>DEVI A/P ARMUGAM</v>
          </cell>
          <cell r="B1323" t="str">
            <v>4 00867844</v>
          </cell>
          <cell r="C1323">
            <v>40591</v>
          </cell>
          <cell r="D1323" t="str">
            <v>WP LIVE</v>
          </cell>
          <cell r="E1323">
            <v>41333</v>
          </cell>
          <cell r="F1323" t="str">
            <v>TIER 3</v>
          </cell>
          <cell r="G1323" t="str">
            <v>UNSKILLED</v>
          </cell>
          <cell r="H1323">
            <v>450</v>
          </cell>
          <cell r="I1323">
            <v>40725</v>
          </cell>
        </row>
        <row r="1324">
          <cell r="A1324" t="str">
            <v>DEVI A/P ARUMUGAM</v>
          </cell>
          <cell r="B1324" t="str">
            <v>5 1871564-</v>
          </cell>
          <cell r="C1324">
            <v>40652</v>
          </cell>
          <cell r="D1324" t="str">
            <v>WP LIVE</v>
          </cell>
          <cell r="E1324">
            <v>41164</v>
          </cell>
          <cell r="F1324" t="str">
            <v>TIER 3</v>
          </cell>
          <cell r="G1324" t="str">
            <v>UNSKILLED</v>
          </cell>
          <cell r="H1324">
            <v>450</v>
          </cell>
          <cell r="I1324">
            <v>40725</v>
          </cell>
        </row>
        <row r="1325">
          <cell r="A1325" t="str">
            <v>DIANAMMAH A/P GABRIEL</v>
          </cell>
          <cell r="B1325" t="str">
            <v>4 03728829</v>
          </cell>
          <cell r="C1325">
            <v>40709</v>
          </cell>
          <cell r="D1325" t="str">
            <v>WP LIVE</v>
          </cell>
          <cell r="E1325">
            <v>41453</v>
          </cell>
          <cell r="F1325" t="str">
            <v>TIER 3</v>
          </cell>
          <cell r="G1325" t="str">
            <v>UNSKILLED</v>
          </cell>
          <cell r="H1325">
            <v>450</v>
          </cell>
          <cell r="I1325">
            <v>40725</v>
          </cell>
        </row>
        <row r="1326">
          <cell r="A1326" t="str">
            <v>DINESHKUMAR A/L LETCHMANAN</v>
          </cell>
          <cell r="B1326" t="str">
            <v>4 03165468</v>
          </cell>
          <cell r="C1326">
            <v>40568</v>
          </cell>
          <cell r="D1326" t="str">
            <v>WP LIVE</v>
          </cell>
          <cell r="E1326">
            <v>41298</v>
          </cell>
          <cell r="F1326" t="str">
            <v>TIER 3</v>
          </cell>
          <cell r="G1326" t="str">
            <v>UNSKILLED</v>
          </cell>
          <cell r="H1326">
            <v>450</v>
          </cell>
          <cell r="I1326">
            <v>40725</v>
          </cell>
        </row>
        <row r="1327">
          <cell r="A1327" t="str">
            <v>DU YING XIA</v>
          </cell>
          <cell r="B1327" t="str">
            <v>0 74217788</v>
          </cell>
          <cell r="C1327">
            <v>40522</v>
          </cell>
          <cell r="D1327" t="str">
            <v>WP LIVE</v>
          </cell>
          <cell r="E1327">
            <v>41257</v>
          </cell>
          <cell r="F1327" t="str">
            <v>TIER 3</v>
          </cell>
          <cell r="G1327" t="str">
            <v>UNSKILLED</v>
          </cell>
          <cell r="H1327">
            <v>450</v>
          </cell>
          <cell r="I1327">
            <v>40725</v>
          </cell>
        </row>
        <row r="1328">
          <cell r="A1328" t="str">
            <v>DURGA DEVI MURUGAN</v>
          </cell>
          <cell r="B1328" t="str">
            <v>4 03646849</v>
          </cell>
          <cell r="C1328">
            <v>40725</v>
          </cell>
          <cell r="D1328" t="str">
            <v>WP APPROVED</v>
          </cell>
          <cell r="F1328" t="str">
            <v>TIER 3</v>
          </cell>
          <cell r="G1328" t="str">
            <v>UNSKILLED</v>
          </cell>
          <cell r="H1328">
            <v>450</v>
          </cell>
          <cell r="I1328">
            <v>40725</v>
          </cell>
        </row>
        <row r="1329">
          <cell r="A1329" t="str">
            <v>EASWARAN A/L MANIMARAN</v>
          </cell>
          <cell r="B1329" t="str">
            <v>4 03670413</v>
          </cell>
          <cell r="C1329">
            <v>40681</v>
          </cell>
          <cell r="D1329" t="str">
            <v>WP LIVE</v>
          </cell>
          <cell r="E1329">
            <v>41288</v>
          </cell>
          <cell r="F1329" t="str">
            <v>TIER 3</v>
          </cell>
          <cell r="G1329" t="str">
            <v>UNSKILLED</v>
          </cell>
          <cell r="H1329">
            <v>450</v>
          </cell>
          <cell r="I1329">
            <v>40725</v>
          </cell>
        </row>
        <row r="1330">
          <cell r="A1330" t="str">
            <v>ELAVARASAN A/L MUNIANDY</v>
          </cell>
          <cell r="B1330" t="str">
            <v>4 02791780</v>
          </cell>
          <cell r="C1330">
            <v>40645</v>
          </cell>
          <cell r="D1330" t="str">
            <v>WP LIVE</v>
          </cell>
          <cell r="E1330">
            <v>41177</v>
          </cell>
          <cell r="F1330" t="str">
            <v>TIER 3</v>
          </cell>
          <cell r="G1330" t="str">
            <v>UNSKILLED</v>
          </cell>
          <cell r="H1330">
            <v>450</v>
          </cell>
          <cell r="I1330">
            <v>40725</v>
          </cell>
        </row>
        <row r="1331">
          <cell r="A1331" t="str">
            <v>FANG MIN</v>
          </cell>
          <cell r="B1331" t="str">
            <v>0 74245803</v>
          </cell>
          <cell r="C1331">
            <v>40542</v>
          </cell>
          <cell r="D1331" t="str">
            <v>WP LIVE</v>
          </cell>
          <cell r="E1331">
            <v>41276</v>
          </cell>
          <cell r="F1331" t="str">
            <v>TIER 3</v>
          </cell>
          <cell r="G1331" t="str">
            <v>UNSKILLED</v>
          </cell>
          <cell r="H1331">
            <v>450</v>
          </cell>
          <cell r="I1331">
            <v>40725</v>
          </cell>
        </row>
        <row r="1332">
          <cell r="A1332" t="str">
            <v>FARIDAH BINTI KAMAL</v>
          </cell>
          <cell r="B1332" t="str">
            <v>4 00790221</v>
          </cell>
          <cell r="C1332">
            <v>40700</v>
          </cell>
          <cell r="D1332" t="str">
            <v>WP LIVE</v>
          </cell>
          <cell r="E1332">
            <v>40976</v>
          </cell>
          <cell r="F1332" t="str">
            <v>TIER 3</v>
          </cell>
          <cell r="G1332" t="str">
            <v>UNSKILLED</v>
          </cell>
          <cell r="H1332">
            <v>450</v>
          </cell>
          <cell r="I1332">
            <v>40725</v>
          </cell>
        </row>
        <row r="1333">
          <cell r="A1333" t="str">
            <v>FATIMAH BINTI MAHAYUDDIN</v>
          </cell>
          <cell r="B1333" t="str">
            <v>4 03078859</v>
          </cell>
          <cell r="C1333">
            <v>40703</v>
          </cell>
          <cell r="D1333" t="str">
            <v>WP LIVE</v>
          </cell>
          <cell r="E1333">
            <v>41315</v>
          </cell>
          <cell r="F1333" t="str">
            <v>TIER 3</v>
          </cell>
          <cell r="G1333" t="str">
            <v>UNSKILLED</v>
          </cell>
          <cell r="H1333">
            <v>450</v>
          </cell>
          <cell r="I1333">
            <v>40725</v>
          </cell>
        </row>
        <row r="1334">
          <cell r="A1334" t="str">
            <v>FAZLLI BIN JOHARI</v>
          </cell>
          <cell r="B1334" t="str">
            <v>4 03818194</v>
          </cell>
          <cell r="C1334">
            <v>40707</v>
          </cell>
          <cell r="D1334" t="str">
            <v>WP LIVE</v>
          </cell>
          <cell r="E1334">
            <v>41403</v>
          </cell>
          <cell r="F1334" t="str">
            <v>TIER 3</v>
          </cell>
          <cell r="G1334" t="str">
            <v>UNSKILLED</v>
          </cell>
          <cell r="H1334">
            <v>450</v>
          </cell>
          <cell r="I1334">
            <v>40725</v>
          </cell>
        </row>
        <row r="1335">
          <cell r="A1335" t="str">
            <v>FRANCIS JOSEPH A/L A SOOSAI</v>
          </cell>
          <cell r="B1335" t="str">
            <v>5 14760012</v>
          </cell>
          <cell r="C1335">
            <v>40646</v>
          </cell>
          <cell r="D1335" t="str">
            <v>WP LIVE</v>
          </cell>
          <cell r="E1335">
            <v>41315</v>
          </cell>
          <cell r="F1335" t="str">
            <v>TIER 3</v>
          </cell>
          <cell r="G1335" t="str">
            <v>UNSKILLED</v>
          </cell>
          <cell r="H1335">
            <v>450</v>
          </cell>
          <cell r="I1335">
            <v>40725</v>
          </cell>
        </row>
        <row r="1336">
          <cell r="A1336" t="str">
            <v>G ARUNAKILI A/P GOVINDASAMY</v>
          </cell>
          <cell r="B1336" t="str">
            <v>5 11910137</v>
          </cell>
          <cell r="C1336">
            <v>40632</v>
          </cell>
          <cell r="D1336" t="str">
            <v>WP LIVE</v>
          </cell>
          <cell r="E1336">
            <v>41312</v>
          </cell>
          <cell r="F1336" t="str">
            <v>TIER 3</v>
          </cell>
          <cell r="G1336" t="str">
            <v>UNSKILLED</v>
          </cell>
          <cell r="H1336">
            <v>450</v>
          </cell>
          <cell r="I1336">
            <v>40725</v>
          </cell>
        </row>
        <row r="1337">
          <cell r="A1337" t="str">
            <v>GAITHIRI A/P RAVENDRAN</v>
          </cell>
          <cell r="B1337" t="str">
            <v>4 03606715</v>
          </cell>
          <cell r="C1337">
            <v>40584</v>
          </cell>
          <cell r="D1337" t="str">
            <v>WP LIVE</v>
          </cell>
          <cell r="E1337">
            <v>41198</v>
          </cell>
          <cell r="F1337" t="str">
            <v>TIER 3</v>
          </cell>
          <cell r="G1337" t="str">
            <v>UNSKILLED</v>
          </cell>
          <cell r="H1337">
            <v>450</v>
          </cell>
          <cell r="I1337">
            <v>40725</v>
          </cell>
        </row>
        <row r="1338">
          <cell r="A1338" t="str">
            <v>GANAGARAJU A/L SEGARAN</v>
          </cell>
          <cell r="B1338" t="str">
            <v>4 03730947</v>
          </cell>
          <cell r="C1338">
            <v>40639</v>
          </cell>
          <cell r="D1338" t="str">
            <v>WP LIVE</v>
          </cell>
          <cell r="E1338">
            <v>41312</v>
          </cell>
          <cell r="F1338" t="str">
            <v>TIER 3</v>
          </cell>
          <cell r="G1338" t="str">
            <v>UNSKILLED</v>
          </cell>
          <cell r="H1338">
            <v>450</v>
          </cell>
          <cell r="I1338">
            <v>40725</v>
          </cell>
        </row>
        <row r="1339">
          <cell r="A1339" t="str">
            <v>GANASAN A/L SABARSUPARMANIAM</v>
          </cell>
          <cell r="B1339" t="str">
            <v>4 03666009</v>
          </cell>
          <cell r="C1339">
            <v>40595</v>
          </cell>
          <cell r="D1339" t="str">
            <v>WP LIVE</v>
          </cell>
          <cell r="E1339">
            <v>41241</v>
          </cell>
          <cell r="F1339" t="str">
            <v>TIER 3</v>
          </cell>
          <cell r="G1339" t="str">
            <v>UNSKILLED</v>
          </cell>
          <cell r="H1339">
            <v>450</v>
          </cell>
          <cell r="I1339">
            <v>40725</v>
          </cell>
        </row>
        <row r="1340">
          <cell r="A1340" t="str">
            <v>GAO QIU DUO</v>
          </cell>
          <cell r="B1340" t="str">
            <v>0 74315186</v>
          </cell>
          <cell r="C1340">
            <v>40602</v>
          </cell>
          <cell r="D1340" t="str">
            <v>WP LIVE</v>
          </cell>
          <cell r="E1340">
            <v>41333</v>
          </cell>
          <cell r="F1340" t="str">
            <v>TIER 3</v>
          </cell>
          <cell r="G1340" t="str">
            <v>UNSKILLED</v>
          </cell>
          <cell r="H1340">
            <v>450</v>
          </cell>
          <cell r="I1340">
            <v>40725</v>
          </cell>
        </row>
        <row r="1341">
          <cell r="A1341" t="str">
            <v>GAYATEREI A/P VENKATARAMAN</v>
          </cell>
          <cell r="B1341" t="str">
            <v>4 03788260</v>
          </cell>
          <cell r="C1341">
            <v>40681</v>
          </cell>
          <cell r="D1341" t="str">
            <v>WP LIVE</v>
          </cell>
          <cell r="E1341">
            <v>41373</v>
          </cell>
          <cell r="F1341" t="str">
            <v>TIER 3</v>
          </cell>
          <cell r="G1341" t="str">
            <v>UNSKILLED</v>
          </cell>
          <cell r="H1341">
            <v>450</v>
          </cell>
          <cell r="I1341">
            <v>40725</v>
          </cell>
        </row>
        <row r="1342">
          <cell r="A1342" t="str">
            <v>GEETHA A/P JOSEPH</v>
          </cell>
          <cell r="B1342" t="str">
            <v>4 01336915</v>
          </cell>
          <cell r="C1342">
            <v>40660</v>
          </cell>
          <cell r="D1342" t="str">
            <v>WP LIVE</v>
          </cell>
          <cell r="E1342">
            <v>41190</v>
          </cell>
          <cell r="F1342" t="str">
            <v>TIER 3</v>
          </cell>
          <cell r="G1342" t="str">
            <v>UNSKILLED</v>
          </cell>
          <cell r="H1342">
            <v>450</v>
          </cell>
          <cell r="I1342">
            <v>40725</v>
          </cell>
        </row>
        <row r="1343">
          <cell r="A1343" t="str">
            <v>GEETHA A/P MURUGESU</v>
          </cell>
          <cell r="B1343" t="str">
            <v>4 03649783</v>
          </cell>
          <cell r="C1343">
            <v>40697</v>
          </cell>
          <cell r="D1343" t="str">
            <v>WP LIVE</v>
          </cell>
          <cell r="E1343">
            <v>41222</v>
          </cell>
          <cell r="F1343" t="str">
            <v>TIER 3</v>
          </cell>
          <cell r="G1343" t="str">
            <v>UNSKILLED</v>
          </cell>
          <cell r="H1343">
            <v>450</v>
          </cell>
          <cell r="I1343">
            <v>40725</v>
          </cell>
        </row>
        <row r="1344">
          <cell r="A1344" t="str">
            <v>GENGA A/P KUPPUSAMY</v>
          </cell>
          <cell r="B1344" t="str">
            <v>5 27912644</v>
          </cell>
          <cell r="C1344">
            <v>40686</v>
          </cell>
          <cell r="D1344" t="str">
            <v>WP LIVE</v>
          </cell>
          <cell r="E1344">
            <v>40962</v>
          </cell>
          <cell r="F1344" t="str">
            <v>TIER 3</v>
          </cell>
          <cell r="G1344" t="str">
            <v>UNSKILLED</v>
          </cell>
          <cell r="H1344">
            <v>450</v>
          </cell>
          <cell r="I1344">
            <v>40725</v>
          </cell>
        </row>
        <row r="1345">
          <cell r="A1345" t="str">
            <v>GENGADEVI A/P DORAISAMY</v>
          </cell>
          <cell r="B1345" t="str">
            <v>3 67256788</v>
          </cell>
          <cell r="C1345">
            <v>40717</v>
          </cell>
          <cell r="D1345" t="str">
            <v>WP APPROVED</v>
          </cell>
          <cell r="F1345" t="str">
            <v>TIER 3</v>
          </cell>
          <cell r="G1345" t="str">
            <v>UNSKILLED</v>
          </cell>
          <cell r="H1345">
            <v>450</v>
          </cell>
          <cell r="I1345">
            <v>40725</v>
          </cell>
        </row>
        <row r="1346">
          <cell r="A1346" t="str">
            <v>GIVARANI A/P JAGANATHAN</v>
          </cell>
          <cell r="B1346" t="str">
            <v>5 38317594</v>
          </cell>
          <cell r="C1346">
            <v>40714</v>
          </cell>
          <cell r="D1346" t="str">
            <v>WP APPROVED</v>
          </cell>
          <cell r="F1346" t="str">
            <v>TIER 3</v>
          </cell>
          <cell r="G1346" t="str">
            <v>UNSKILLED</v>
          </cell>
          <cell r="H1346">
            <v>450</v>
          </cell>
          <cell r="I1346">
            <v>40725</v>
          </cell>
        </row>
        <row r="1347">
          <cell r="A1347" t="str">
            <v>GONG JUN RONG</v>
          </cell>
          <cell r="B1347" t="str">
            <v>0 74493041</v>
          </cell>
          <cell r="C1347">
            <v>40703</v>
          </cell>
          <cell r="D1347" t="str">
            <v>WP LIVE</v>
          </cell>
          <cell r="E1347">
            <v>41438</v>
          </cell>
          <cell r="F1347" t="str">
            <v>TIER 3</v>
          </cell>
          <cell r="G1347" t="str">
            <v>UNSKILLED</v>
          </cell>
          <cell r="H1347">
            <v>450</v>
          </cell>
          <cell r="I1347">
            <v>40725</v>
          </cell>
        </row>
        <row r="1348">
          <cell r="A1348" t="str">
            <v>GOVINDAMAH A/P RAMAN</v>
          </cell>
          <cell r="B1348" t="str">
            <v>5 24188457</v>
          </cell>
          <cell r="C1348">
            <v>40701</v>
          </cell>
          <cell r="D1348" t="str">
            <v>WP LIVE</v>
          </cell>
          <cell r="E1348">
            <v>41268</v>
          </cell>
          <cell r="F1348" t="str">
            <v>TIER 3</v>
          </cell>
          <cell r="G1348" t="str">
            <v>UNSKILLED</v>
          </cell>
          <cell r="H1348">
            <v>450</v>
          </cell>
          <cell r="I1348">
            <v>40725</v>
          </cell>
        </row>
        <row r="1349">
          <cell r="A1349" t="str">
            <v>GOWRI A/P MUNISAMY</v>
          </cell>
          <cell r="B1349" t="str">
            <v>5 25609413</v>
          </cell>
          <cell r="C1349">
            <v>40674</v>
          </cell>
          <cell r="D1349" t="str">
            <v>WP LIVE</v>
          </cell>
          <cell r="E1349">
            <v>41327</v>
          </cell>
          <cell r="F1349" t="str">
            <v>TIER 3</v>
          </cell>
          <cell r="G1349" t="str">
            <v>UNSKILLED</v>
          </cell>
          <cell r="H1349">
            <v>450</v>
          </cell>
          <cell r="I1349">
            <v>40725</v>
          </cell>
        </row>
        <row r="1350">
          <cell r="A1350" t="str">
            <v>GU XIAOJUAN</v>
          </cell>
          <cell r="B1350" t="str">
            <v>0 72914910</v>
          </cell>
          <cell r="C1350">
            <v>40675</v>
          </cell>
          <cell r="D1350" t="str">
            <v>WP LIVE</v>
          </cell>
          <cell r="E1350">
            <v>41411</v>
          </cell>
          <cell r="F1350" t="str">
            <v>TIER 3</v>
          </cell>
          <cell r="G1350" t="str">
            <v>UNSKILLED</v>
          </cell>
          <cell r="H1350">
            <v>450</v>
          </cell>
          <cell r="I1350">
            <v>40725</v>
          </cell>
        </row>
        <row r="1351">
          <cell r="A1351" t="str">
            <v>GUNASIGARAN A/L SUBRAMANIAM</v>
          </cell>
          <cell r="B1351" t="str">
            <v>4 03646466</v>
          </cell>
          <cell r="C1351">
            <v>40701</v>
          </cell>
          <cell r="D1351" t="str">
            <v>WP LIVE</v>
          </cell>
          <cell r="E1351">
            <v>41449</v>
          </cell>
          <cell r="F1351" t="str">
            <v>TIER 3</v>
          </cell>
          <cell r="G1351" t="str">
            <v>UNSKILLED</v>
          </cell>
          <cell r="H1351">
            <v>450</v>
          </cell>
          <cell r="I1351">
            <v>40725</v>
          </cell>
        </row>
        <row r="1352">
          <cell r="A1352" t="str">
            <v>GUNASUNDARI A/P ARUMUGAM</v>
          </cell>
          <cell r="B1352" t="str">
            <v>3 61015843</v>
          </cell>
          <cell r="C1352">
            <v>40700</v>
          </cell>
          <cell r="D1352" t="str">
            <v>WP LIVE</v>
          </cell>
          <cell r="E1352">
            <v>41061</v>
          </cell>
          <cell r="F1352" t="str">
            <v>TIER 3</v>
          </cell>
          <cell r="G1352" t="str">
            <v>UNSKILLED</v>
          </cell>
          <cell r="H1352">
            <v>450</v>
          </cell>
          <cell r="I1352">
            <v>40725</v>
          </cell>
        </row>
        <row r="1353">
          <cell r="A1353" t="str">
            <v>GUO XUNQIAN</v>
          </cell>
          <cell r="B1353" t="str">
            <v>0 74378412</v>
          </cell>
          <cell r="C1353">
            <v>40633</v>
          </cell>
          <cell r="D1353" t="str">
            <v>WP LIVE</v>
          </cell>
          <cell r="E1353">
            <v>41367</v>
          </cell>
          <cell r="F1353" t="str">
            <v>TIER 3</v>
          </cell>
          <cell r="G1353" t="str">
            <v>UNSKILLED</v>
          </cell>
          <cell r="H1353">
            <v>450</v>
          </cell>
          <cell r="I1353">
            <v>40725</v>
          </cell>
        </row>
        <row r="1354">
          <cell r="A1354" t="str">
            <v>HAFIZ BIN AMIR HAMZAH</v>
          </cell>
          <cell r="B1354" t="str">
            <v>5 25060365</v>
          </cell>
          <cell r="C1354">
            <v>40638</v>
          </cell>
          <cell r="D1354" t="str">
            <v>WP LIVE</v>
          </cell>
          <cell r="E1354">
            <v>41382</v>
          </cell>
          <cell r="F1354" t="str">
            <v>TIER 3</v>
          </cell>
          <cell r="G1354" t="str">
            <v>UNSKILLED</v>
          </cell>
          <cell r="H1354">
            <v>450</v>
          </cell>
          <cell r="I1354">
            <v>40725</v>
          </cell>
        </row>
        <row r="1355">
          <cell r="A1355" t="str">
            <v>HAMISA BINTI DERAWI</v>
          </cell>
          <cell r="B1355" t="str">
            <v>3 51109904</v>
          </cell>
          <cell r="C1355">
            <v>40536</v>
          </cell>
          <cell r="D1355" t="str">
            <v>WP LIVE</v>
          </cell>
          <cell r="E1355">
            <v>41113</v>
          </cell>
          <cell r="F1355" t="str">
            <v>TIER 3</v>
          </cell>
          <cell r="G1355" t="str">
            <v>UNSKILLED</v>
          </cell>
          <cell r="H1355">
            <v>450</v>
          </cell>
          <cell r="I1355">
            <v>40725</v>
          </cell>
        </row>
        <row r="1356">
          <cell r="A1356" t="str">
            <v>HAZIZAH BINTI SARBINI</v>
          </cell>
          <cell r="B1356" t="str">
            <v>5 11097509</v>
          </cell>
          <cell r="C1356">
            <v>40512</v>
          </cell>
          <cell r="D1356" t="str">
            <v>WP LIVE</v>
          </cell>
          <cell r="E1356">
            <v>40826</v>
          </cell>
          <cell r="F1356" t="str">
            <v>TIER 3</v>
          </cell>
          <cell r="G1356" t="str">
            <v>UNSKILLED</v>
          </cell>
          <cell r="H1356">
            <v>450</v>
          </cell>
          <cell r="I1356">
            <v>40725</v>
          </cell>
        </row>
        <row r="1357">
          <cell r="A1357" t="str">
            <v>HE LING</v>
          </cell>
          <cell r="B1357" t="str">
            <v>0 74287123</v>
          </cell>
          <cell r="C1357">
            <v>40576</v>
          </cell>
          <cell r="D1357" t="str">
            <v>WP LIVE</v>
          </cell>
          <cell r="E1357">
            <v>41319</v>
          </cell>
          <cell r="F1357" t="str">
            <v>TIER 3</v>
          </cell>
          <cell r="G1357" t="str">
            <v>UNSKILLED</v>
          </cell>
          <cell r="H1357">
            <v>450</v>
          </cell>
          <cell r="I1357">
            <v>40725</v>
          </cell>
        </row>
        <row r="1358">
          <cell r="A1358" t="str">
            <v>HE QIAOFANG</v>
          </cell>
          <cell r="B1358" t="str">
            <v>0 7450552-</v>
          </cell>
          <cell r="C1358">
            <v>40709</v>
          </cell>
          <cell r="D1358" t="str">
            <v>WP APPROVED</v>
          </cell>
          <cell r="F1358" t="str">
            <v>TIER 3</v>
          </cell>
          <cell r="G1358" t="str">
            <v>UNSKILLED</v>
          </cell>
          <cell r="H1358">
            <v>450</v>
          </cell>
          <cell r="I1358">
            <v>40725</v>
          </cell>
        </row>
        <row r="1359">
          <cell r="A1359" t="str">
            <v>HEMA DEVI A/P BALAKRISHNAN</v>
          </cell>
          <cell r="B1359" t="str">
            <v>4 0262003-</v>
          </cell>
          <cell r="C1359">
            <v>40683</v>
          </cell>
          <cell r="D1359" t="str">
            <v>WP LIVE</v>
          </cell>
          <cell r="E1359">
            <v>40974</v>
          </cell>
          <cell r="F1359" t="str">
            <v>TIER 3</v>
          </cell>
          <cell r="G1359" t="str">
            <v>UNSKILLED</v>
          </cell>
          <cell r="H1359">
            <v>450</v>
          </cell>
          <cell r="I1359">
            <v>40725</v>
          </cell>
        </row>
        <row r="1360">
          <cell r="A1360" t="str">
            <v>HEMALATHA A/P ALAGU RAJAH</v>
          </cell>
          <cell r="B1360" t="str">
            <v>4 03613274</v>
          </cell>
          <cell r="C1360">
            <v>40525</v>
          </cell>
          <cell r="D1360" t="str">
            <v>WP LIVE</v>
          </cell>
          <cell r="E1360">
            <v>41197</v>
          </cell>
          <cell r="F1360" t="str">
            <v>TIER 3</v>
          </cell>
          <cell r="G1360" t="str">
            <v>UNSKILLED</v>
          </cell>
          <cell r="H1360">
            <v>450</v>
          </cell>
          <cell r="I1360">
            <v>40525</v>
          </cell>
        </row>
        <row r="1361">
          <cell r="A1361" t="str">
            <v>HENRY ANAK TUANG</v>
          </cell>
          <cell r="B1361" t="str">
            <v>8 93561226</v>
          </cell>
          <cell r="C1361">
            <v>40675</v>
          </cell>
          <cell r="D1361" t="str">
            <v>WP LIVE</v>
          </cell>
          <cell r="E1361">
            <v>41426</v>
          </cell>
          <cell r="F1361" t="str">
            <v>TIER 3</v>
          </cell>
          <cell r="G1361" t="str">
            <v>UNSKILLED</v>
          </cell>
          <cell r="H1361">
            <v>450</v>
          </cell>
          <cell r="I1361">
            <v>40725</v>
          </cell>
        </row>
        <row r="1362">
          <cell r="A1362" t="str">
            <v>HUANG GUOYING</v>
          </cell>
          <cell r="B1362" t="str">
            <v>0 74478913</v>
          </cell>
          <cell r="C1362">
            <v>40694</v>
          </cell>
          <cell r="D1362" t="str">
            <v>WP LIVE</v>
          </cell>
          <cell r="E1362">
            <v>41426</v>
          </cell>
          <cell r="F1362" t="str">
            <v>TIER 3</v>
          </cell>
          <cell r="G1362" t="str">
            <v>UNSKILLED</v>
          </cell>
          <cell r="H1362">
            <v>450</v>
          </cell>
          <cell r="I1362">
            <v>40725</v>
          </cell>
        </row>
        <row r="1363">
          <cell r="A1363" t="str">
            <v>HUANG LIJU</v>
          </cell>
          <cell r="B1363" t="str">
            <v>0 74505341</v>
          </cell>
          <cell r="C1363">
            <v>40709</v>
          </cell>
          <cell r="D1363" t="str">
            <v>WP APPROVED</v>
          </cell>
          <cell r="F1363" t="str">
            <v>TIER 3</v>
          </cell>
          <cell r="G1363" t="str">
            <v>UNSKILLED</v>
          </cell>
          <cell r="H1363">
            <v>450</v>
          </cell>
          <cell r="I1363">
            <v>40725</v>
          </cell>
        </row>
        <row r="1364">
          <cell r="A1364" t="str">
            <v>INDAH DEYENDRA BINTI DANNY LAMPAY</v>
          </cell>
          <cell r="B1364" t="str">
            <v>4 03818135</v>
          </cell>
          <cell r="C1364">
            <v>40707</v>
          </cell>
          <cell r="D1364" t="str">
            <v>WP APPROVED</v>
          </cell>
          <cell r="F1364" t="str">
            <v>TIER 3</v>
          </cell>
          <cell r="G1364" t="str">
            <v>UNSKILLED</v>
          </cell>
          <cell r="H1364">
            <v>450</v>
          </cell>
          <cell r="I1364">
            <v>40725</v>
          </cell>
        </row>
        <row r="1365">
          <cell r="A1365" t="str">
            <v>INDARANIAMMAH A/P APPLANAIDU</v>
          </cell>
          <cell r="B1365" t="str">
            <v>5 19281597</v>
          </cell>
          <cell r="C1365">
            <v>40716</v>
          </cell>
          <cell r="D1365" t="str">
            <v>WP APPROVED</v>
          </cell>
          <cell r="F1365" t="str">
            <v>TIER 3</v>
          </cell>
          <cell r="G1365" t="str">
            <v>UNSKILLED</v>
          </cell>
          <cell r="H1365">
            <v>450</v>
          </cell>
          <cell r="I1365">
            <v>40725</v>
          </cell>
        </row>
        <row r="1366">
          <cell r="A1366" t="str">
            <v>INDRA A/P ARUMUGAM</v>
          </cell>
          <cell r="B1366" t="str">
            <v>4 0327688-</v>
          </cell>
          <cell r="C1366">
            <v>40603</v>
          </cell>
          <cell r="D1366" t="str">
            <v>WP LIVE</v>
          </cell>
          <cell r="E1366">
            <v>40876</v>
          </cell>
          <cell r="F1366" t="str">
            <v>TIER 3</v>
          </cell>
          <cell r="G1366" t="str">
            <v>UNSKILLED</v>
          </cell>
          <cell r="H1366">
            <v>450</v>
          </cell>
          <cell r="I1366">
            <v>40725</v>
          </cell>
        </row>
        <row r="1367">
          <cell r="A1367" t="str">
            <v>INTRANI A/P CHANPRAN</v>
          </cell>
          <cell r="B1367" t="str">
            <v>4 03637149</v>
          </cell>
          <cell r="C1367">
            <v>40555</v>
          </cell>
          <cell r="D1367" t="str">
            <v>WP LIVE</v>
          </cell>
          <cell r="E1367">
            <v>40882</v>
          </cell>
          <cell r="F1367" t="str">
            <v>TIER 3</v>
          </cell>
          <cell r="G1367" t="str">
            <v>UNSKILLED</v>
          </cell>
          <cell r="H1367">
            <v>450</v>
          </cell>
          <cell r="I1367">
            <v>40725</v>
          </cell>
        </row>
        <row r="1368">
          <cell r="A1368" t="str">
            <v>ISMAIL BIN KASIM</v>
          </cell>
          <cell r="B1368" t="str">
            <v>4 03654027</v>
          </cell>
          <cell r="C1368">
            <v>40583</v>
          </cell>
          <cell r="D1368" t="str">
            <v>WP LIVE</v>
          </cell>
          <cell r="E1368">
            <v>41256</v>
          </cell>
          <cell r="F1368" t="str">
            <v>TIER 3</v>
          </cell>
          <cell r="G1368" t="str">
            <v>UNSKILLED</v>
          </cell>
          <cell r="H1368">
            <v>450</v>
          </cell>
          <cell r="I1368">
            <v>40725</v>
          </cell>
        </row>
        <row r="1369">
          <cell r="A1369" t="str">
            <v>JAESAH BINTI HARUN</v>
          </cell>
          <cell r="B1369" t="str">
            <v>4 03741957</v>
          </cell>
          <cell r="C1369">
            <v>40646</v>
          </cell>
          <cell r="D1369" t="str">
            <v>WP LIVE</v>
          </cell>
          <cell r="E1369">
            <v>41333</v>
          </cell>
          <cell r="F1369" t="str">
            <v>TIER 3</v>
          </cell>
          <cell r="G1369" t="str">
            <v>UNSKILLED</v>
          </cell>
          <cell r="H1369">
            <v>450</v>
          </cell>
          <cell r="I1369">
            <v>40725</v>
          </cell>
        </row>
        <row r="1370">
          <cell r="A1370" t="str">
            <v>JAGATHISWARY A/P KRISNAN</v>
          </cell>
          <cell r="B1370" t="str">
            <v>4 03749958</v>
          </cell>
          <cell r="C1370">
            <v>40651</v>
          </cell>
          <cell r="D1370" t="str">
            <v>WP LIVE</v>
          </cell>
          <cell r="E1370">
            <v>41399</v>
          </cell>
          <cell r="F1370" t="str">
            <v>TIER 3</v>
          </cell>
          <cell r="G1370" t="str">
            <v>UNSKILLED</v>
          </cell>
          <cell r="H1370">
            <v>450</v>
          </cell>
          <cell r="I1370">
            <v>40725</v>
          </cell>
        </row>
        <row r="1371">
          <cell r="A1371" t="str">
            <v>JAMALLUDIN BIN MANSOR</v>
          </cell>
          <cell r="B1371" t="str">
            <v>4 03798312</v>
          </cell>
          <cell r="C1371">
            <v>40689</v>
          </cell>
          <cell r="D1371" t="str">
            <v>WP LIVE</v>
          </cell>
          <cell r="E1371">
            <v>41375</v>
          </cell>
          <cell r="F1371" t="str">
            <v>TIER 3</v>
          </cell>
          <cell r="G1371" t="str">
            <v>UNSKILLED</v>
          </cell>
          <cell r="H1371">
            <v>450</v>
          </cell>
          <cell r="I1371">
            <v>40725</v>
          </cell>
        </row>
        <row r="1372">
          <cell r="A1372" t="str">
            <v>JAMILAH BINTI IBRAHIM</v>
          </cell>
          <cell r="B1372" t="str">
            <v>4 03667862</v>
          </cell>
          <cell r="C1372">
            <v>40700</v>
          </cell>
          <cell r="D1372" t="str">
            <v>WP LIVE</v>
          </cell>
          <cell r="E1372">
            <v>41295</v>
          </cell>
          <cell r="F1372" t="str">
            <v>TIER 3</v>
          </cell>
          <cell r="G1372" t="str">
            <v>UNSKILLED</v>
          </cell>
          <cell r="H1372">
            <v>450</v>
          </cell>
          <cell r="I1372">
            <v>40725</v>
          </cell>
        </row>
        <row r="1373">
          <cell r="A1373" t="str">
            <v>JANAKY A/P SUBRAMANIAM</v>
          </cell>
          <cell r="B1373" t="str">
            <v>5 25454894</v>
          </cell>
          <cell r="C1373">
            <v>40723</v>
          </cell>
          <cell r="D1373" t="str">
            <v>WP APPROVED</v>
          </cell>
          <cell r="F1373" t="str">
            <v>TIER 3</v>
          </cell>
          <cell r="G1373" t="str">
            <v>UNSKILLED</v>
          </cell>
          <cell r="H1373">
            <v>450</v>
          </cell>
          <cell r="I1373">
            <v>40725</v>
          </cell>
        </row>
        <row r="1374">
          <cell r="A1374" t="str">
            <v>JAYA BARATHY A/P ACHUTHAN</v>
          </cell>
          <cell r="B1374" t="str">
            <v>4 00178372</v>
          </cell>
          <cell r="C1374">
            <v>40659</v>
          </cell>
          <cell r="D1374" t="str">
            <v>WP LIVE</v>
          </cell>
          <cell r="E1374">
            <v>41333</v>
          </cell>
          <cell r="F1374" t="str">
            <v>TIER 3</v>
          </cell>
          <cell r="G1374" t="str">
            <v>UNSKILLED</v>
          </cell>
          <cell r="H1374">
            <v>450</v>
          </cell>
          <cell r="I1374">
            <v>40725</v>
          </cell>
        </row>
        <row r="1375">
          <cell r="A1375" t="str">
            <v>JAYA ESVARI A/P MUTTIAH</v>
          </cell>
          <cell r="B1375" t="str">
            <v>4 03779377</v>
          </cell>
          <cell r="C1375">
            <v>40674</v>
          </cell>
          <cell r="D1375" t="str">
            <v>WP LIVE</v>
          </cell>
          <cell r="E1375">
            <v>41418</v>
          </cell>
          <cell r="F1375" t="str">
            <v>TIER 3</v>
          </cell>
          <cell r="G1375" t="str">
            <v>UNSKILLED</v>
          </cell>
          <cell r="H1375">
            <v>450</v>
          </cell>
          <cell r="I1375">
            <v>40725</v>
          </cell>
        </row>
        <row r="1376">
          <cell r="A1376" t="str">
            <v>JAYA KUMARI A/P MUNIANDY</v>
          </cell>
          <cell r="B1376" t="str">
            <v>5 29729197</v>
          </cell>
          <cell r="C1376">
            <v>40679</v>
          </cell>
          <cell r="D1376" t="str">
            <v>WP LIVE</v>
          </cell>
          <cell r="E1376">
            <v>41309</v>
          </cell>
          <cell r="F1376" t="str">
            <v>TIER 3</v>
          </cell>
          <cell r="G1376" t="str">
            <v>UNSKILLED</v>
          </cell>
          <cell r="H1376">
            <v>450</v>
          </cell>
          <cell r="I1376">
            <v>40725</v>
          </cell>
        </row>
        <row r="1377">
          <cell r="A1377" t="str">
            <v>JAYABALAN</v>
          </cell>
          <cell r="B1377" t="str">
            <v>4 03637165</v>
          </cell>
          <cell r="C1377">
            <v>40555</v>
          </cell>
          <cell r="D1377" t="str">
            <v>WP LIVE</v>
          </cell>
          <cell r="E1377">
            <v>41242</v>
          </cell>
          <cell r="F1377" t="str">
            <v>TIER 3</v>
          </cell>
          <cell r="G1377" t="str">
            <v>UNSKILLED</v>
          </cell>
          <cell r="H1377">
            <v>450</v>
          </cell>
          <cell r="I1377">
            <v>40555</v>
          </cell>
        </row>
        <row r="1378">
          <cell r="A1378" t="str">
            <v>JAYALALITHA A/P KRISHNAN SIVAM</v>
          </cell>
          <cell r="B1378" t="str">
            <v>5 06621879</v>
          </cell>
          <cell r="C1378">
            <v>40529</v>
          </cell>
          <cell r="D1378" t="str">
            <v>WP LIVE</v>
          </cell>
          <cell r="E1378">
            <v>41047</v>
          </cell>
          <cell r="F1378" t="str">
            <v>TIER 3</v>
          </cell>
          <cell r="G1378" t="str">
            <v>UNSKILLED</v>
          </cell>
          <cell r="H1378">
            <v>450</v>
          </cell>
          <cell r="I1378">
            <v>40725</v>
          </cell>
        </row>
        <row r="1379">
          <cell r="A1379" t="str">
            <v>JAYASURIAN A/L MUNIANDI</v>
          </cell>
          <cell r="B1379" t="str">
            <v>4 03652407</v>
          </cell>
          <cell r="C1379">
            <v>40582</v>
          </cell>
          <cell r="D1379" t="str">
            <v>WP LIVE</v>
          </cell>
          <cell r="E1379">
            <v>41197</v>
          </cell>
          <cell r="F1379" t="str">
            <v>TIER 3</v>
          </cell>
          <cell r="G1379" t="str">
            <v>UNSKILLED</v>
          </cell>
          <cell r="H1379">
            <v>450</v>
          </cell>
          <cell r="I1379">
            <v>40725</v>
          </cell>
        </row>
        <row r="1380">
          <cell r="A1380" t="str">
            <v>JEEVAN A/L GANSAN</v>
          </cell>
          <cell r="B1380" t="str">
            <v>4 03837504</v>
          </cell>
          <cell r="C1380">
            <v>40723</v>
          </cell>
          <cell r="D1380" t="str">
            <v>WP APPROVED</v>
          </cell>
          <cell r="F1380" t="str">
            <v>TIER 3</v>
          </cell>
          <cell r="G1380" t="str">
            <v>UNSKILLED</v>
          </cell>
          <cell r="H1380">
            <v>450</v>
          </cell>
          <cell r="I1380">
            <v>40725</v>
          </cell>
        </row>
        <row r="1381">
          <cell r="A1381" t="str">
            <v>JEGANAT A/L SUBRAMANIAM</v>
          </cell>
          <cell r="B1381" t="str">
            <v>4 01073914</v>
          </cell>
          <cell r="C1381">
            <v>40652</v>
          </cell>
          <cell r="D1381" t="str">
            <v>WP LIVE</v>
          </cell>
          <cell r="E1381">
            <v>41017</v>
          </cell>
          <cell r="F1381" t="str">
            <v>TIER 3</v>
          </cell>
          <cell r="G1381" t="str">
            <v>UNSKILLED</v>
          </cell>
          <cell r="H1381">
            <v>450</v>
          </cell>
          <cell r="I1381">
            <v>40725</v>
          </cell>
        </row>
        <row r="1382">
          <cell r="A1382" t="str">
            <v>JESUVAA A/L M RAJA</v>
          </cell>
          <cell r="B1382" t="str">
            <v>4 01666680</v>
          </cell>
          <cell r="C1382">
            <v>40724</v>
          </cell>
          <cell r="D1382" t="str">
            <v>WP APPROVED</v>
          </cell>
          <cell r="F1382" t="str">
            <v>TIER 3</v>
          </cell>
          <cell r="G1382" t="str">
            <v>UNSKILLED</v>
          </cell>
          <cell r="H1382">
            <v>450</v>
          </cell>
          <cell r="I1382">
            <v>40725</v>
          </cell>
        </row>
        <row r="1383">
          <cell r="A1383" t="str">
            <v>JEWANYIE A/P PERIANNAN</v>
          </cell>
          <cell r="B1383" t="str">
            <v>5 1272728-</v>
          </cell>
          <cell r="C1383">
            <v>40595</v>
          </cell>
          <cell r="D1383" t="str">
            <v>WP LIVE</v>
          </cell>
          <cell r="E1383">
            <v>40951</v>
          </cell>
          <cell r="F1383" t="str">
            <v>TIER 3</v>
          </cell>
          <cell r="G1383" t="str">
            <v>UNSKILLED</v>
          </cell>
          <cell r="H1383">
            <v>450</v>
          </cell>
          <cell r="I1383">
            <v>40725</v>
          </cell>
        </row>
        <row r="1384">
          <cell r="A1384" t="str">
            <v>JEYASAKTHI A/P VENGADASON</v>
          </cell>
          <cell r="B1384" t="str">
            <v>5 35648867</v>
          </cell>
          <cell r="C1384">
            <v>40721</v>
          </cell>
          <cell r="D1384" t="str">
            <v>WP APPROVED</v>
          </cell>
          <cell r="F1384" t="str">
            <v>TIER 3</v>
          </cell>
          <cell r="G1384" t="str">
            <v>UNSKILLED</v>
          </cell>
          <cell r="H1384">
            <v>450</v>
          </cell>
          <cell r="I1384">
            <v>40725</v>
          </cell>
        </row>
        <row r="1385">
          <cell r="A1385" t="str">
            <v>JEYASUTHES A/L M UTHAYAKUMAR</v>
          </cell>
          <cell r="B1385" t="str">
            <v>4 03431559</v>
          </cell>
          <cell r="C1385">
            <v>40681</v>
          </cell>
          <cell r="D1385" t="str">
            <v>WP LIVE</v>
          </cell>
          <cell r="E1385">
            <v>40916</v>
          </cell>
          <cell r="F1385" t="str">
            <v>TIER 3</v>
          </cell>
          <cell r="G1385" t="str">
            <v>UNSKILLED</v>
          </cell>
          <cell r="H1385">
            <v>450</v>
          </cell>
          <cell r="I1385">
            <v>40725</v>
          </cell>
        </row>
        <row r="1386">
          <cell r="A1386" t="str">
            <v>JIANG CAIJUN</v>
          </cell>
          <cell r="B1386" t="str">
            <v>0 74443443</v>
          </cell>
          <cell r="C1386">
            <v>40675</v>
          </cell>
          <cell r="D1386" t="str">
            <v>WP LIVE</v>
          </cell>
          <cell r="E1386">
            <v>41411</v>
          </cell>
          <cell r="F1386" t="str">
            <v>TIER 3</v>
          </cell>
          <cell r="G1386" t="str">
            <v>UNSKILLED</v>
          </cell>
          <cell r="H1386">
            <v>450</v>
          </cell>
          <cell r="I1386">
            <v>40725</v>
          </cell>
        </row>
        <row r="1387">
          <cell r="A1387" t="str">
            <v>JIANG GUANGJUN</v>
          </cell>
          <cell r="B1387" t="str">
            <v>0 74436196</v>
          </cell>
          <cell r="C1387">
            <v>40669</v>
          </cell>
          <cell r="D1387" t="str">
            <v>WP LIVE</v>
          </cell>
          <cell r="E1387">
            <v>41405</v>
          </cell>
          <cell r="F1387" t="str">
            <v>TIER 3</v>
          </cell>
          <cell r="G1387" t="str">
            <v>UNSKILLED</v>
          </cell>
          <cell r="H1387">
            <v>450</v>
          </cell>
          <cell r="I1387">
            <v>40725</v>
          </cell>
        </row>
        <row r="1388">
          <cell r="A1388" t="str">
            <v>JIANG HAITANG</v>
          </cell>
          <cell r="B1388" t="str">
            <v>0 74414281</v>
          </cell>
          <cell r="C1388">
            <v>40654</v>
          </cell>
          <cell r="D1388" t="str">
            <v>WP LIVE</v>
          </cell>
          <cell r="E1388">
            <v>41392</v>
          </cell>
          <cell r="F1388" t="str">
            <v>TIER 3</v>
          </cell>
          <cell r="G1388" t="str">
            <v>UNSKILLED</v>
          </cell>
          <cell r="H1388">
            <v>450</v>
          </cell>
          <cell r="I1388">
            <v>40725</v>
          </cell>
        </row>
        <row r="1389">
          <cell r="A1389" t="str">
            <v>JIANG HONGZHEN</v>
          </cell>
          <cell r="B1389" t="str">
            <v>0 74308589</v>
          </cell>
          <cell r="C1389">
            <v>40597</v>
          </cell>
          <cell r="D1389" t="str">
            <v>WP LIVE</v>
          </cell>
          <cell r="E1389">
            <v>41333</v>
          </cell>
          <cell r="F1389" t="str">
            <v>TIER 3</v>
          </cell>
          <cell r="G1389" t="str">
            <v>UNSKILLED</v>
          </cell>
          <cell r="H1389">
            <v>450</v>
          </cell>
          <cell r="I1389">
            <v>40725</v>
          </cell>
        </row>
        <row r="1390">
          <cell r="A1390" t="str">
            <v>JIANG MING MING</v>
          </cell>
          <cell r="B1390" t="str">
            <v>0 74331505</v>
          </cell>
          <cell r="C1390">
            <v>40611</v>
          </cell>
          <cell r="D1390" t="str">
            <v>WP LIVE</v>
          </cell>
          <cell r="E1390">
            <v>41347</v>
          </cell>
          <cell r="F1390" t="str">
            <v>TIER 3</v>
          </cell>
          <cell r="G1390" t="str">
            <v>UNSKILLED</v>
          </cell>
          <cell r="H1390">
            <v>450</v>
          </cell>
          <cell r="I1390">
            <v>40725</v>
          </cell>
        </row>
        <row r="1391">
          <cell r="A1391" t="str">
            <v>JIANG ZHAOQIN</v>
          </cell>
          <cell r="B1391" t="str">
            <v>0 74408788</v>
          </cell>
          <cell r="C1391">
            <v>40651</v>
          </cell>
          <cell r="D1391" t="str">
            <v>WP LIVE</v>
          </cell>
          <cell r="E1391">
            <v>41388</v>
          </cell>
          <cell r="F1391" t="str">
            <v>TIER 3</v>
          </cell>
          <cell r="G1391" t="str">
            <v>UNSKILLED</v>
          </cell>
          <cell r="H1391">
            <v>450</v>
          </cell>
          <cell r="I1391">
            <v>40725</v>
          </cell>
        </row>
        <row r="1392">
          <cell r="A1392" t="str">
            <v>JIVA A/L DARAMURAJI</v>
          </cell>
          <cell r="B1392" t="str">
            <v>5 29173660</v>
          </cell>
          <cell r="C1392">
            <v>40711</v>
          </cell>
          <cell r="D1392" t="str">
            <v>WP APPROVED</v>
          </cell>
          <cell r="F1392" t="str">
            <v>TIER 3</v>
          </cell>
          <cell r="G1392" t="str">
            <v>UNSKILLED</v>
          </cell>
          <cell r="H1392">
            <v>450</v>
          </cell>
          <cell r="I1392">
            <v>40725</v>
          </cell>
        </row>
        <row r="1393">
          <cell r="A1393" t="str">
            <v>JOSHUA ANAK ESIT</v>
          </cell>
          <cell r="B1393" t="str">
            <v>4 01357963</v>
          </cell>
          <cell r="C1393">
            <v>40695</v>
          </cell>
          <cell r="D1393" t="str">
            <v>WP LIVE</v>
          </cell>
          <cell r="E1393">
            <v>41126</v>
          </cell>
          <cell r="F1393" t="str">
            <v>TIER 3</v>
          </cell>
          <cell r="G1393" t="str">
            <v>UNSKILLED</v>
          </cell>
          <cell r="H1393">
            <v>450</v>
          </cell>
          <cell r="I1393">
            <v>40725</v>
          </cell>
        </row>
        <row r="1394">
          <cell r="A1394" t="str">
            <v>JULIE A/P MUNIANDY</v>
          </cell>
          <cell r="B1394" t="str">
            <v>4 03617822</v>
          </cell>
          <cell r="C1394">
            <v>40529</v>
          </cell>
          <cell r="D1394" t="str">
            <v>WP LIVE</v>
          </cell>
          <cell r="E1394">
            <v>41212</v>
          </cell>
          <cell r="F1394" t="str">
            <v>TIER 3</v>
          </cell>
          <cell r="G1394" t="str">
            <v>UNSKILLED</v>
          </cell>
          <cell r="H1394">
            <v>450</v>
          </cell>
          <cell r="I1394">
            <v>40725</v>
          </cell>
        </row>
        <row r="1395">
          <cell r="A1395" t="str">
            <v>KALADEVI A/P MUNIANDY</v>
          </cell>
          <cell r="B1395" t="str">
            <v>5 36322078</v>
          </cell>
          <cell r="C1395">
            <v>40597</v>
          </cell>
          <cell r="D1395" t="str">
            <v>WP LIVE</v>
          </cell>
          <cell r="E1395">
            <v>41332</v>
          </cell>
          <cell r="F1395" t="str">
            <v>TIER 3</v>
          </cell>
          <cell r="G1395" t="str">
            <v>UNSKILLED</v>
          </cell>
          <cell r="H1395">
            <v>450</v>
          </cell>
          <cell r="I1395">
            <v>40725</v>
          </cell>
        </row>
        <row r="1396">
          <cell r="A1396" t="str">
            <v>KALAICHELVI A/P KANDASAMY</v>
          </cell>
          <cell r="B1396" t="str">
            <v>5 01300993</v>
          </cell>
          <cell r="C1396">
            <v>40619</v>
          </cell>
          <cell r="D1396" t="str">
            <v>WP LIVE</v>
          </cell>
          <cell r="E1396">
            <v>40927</v>
          </cell>
          <cell r="F1396" t="str">
            <v>TIER 3</v>
          </cell>
          <cell r="G1396" t="str">
            <v>UNSKILLED</v>
          </cell>
          <cell r="H1396">
            <v>450</v>
          </cell>
          <cell r="I1396">
            <v>40725</v>
          </cell>
        </row>
        <row r="1397">
          <cell r="A1397" t="str">
            <v>KALAISELVI A/P NALAIYAR</v>
          </cell>
          <cell r="B1397" t="str">
            <v>4 03167525</v>
          </cell>
          <cell r="C1397">
            <v>40602</v>
          </cell>
          <cell r="D1397" t="str">
            <v>WP LIVE</v>
          </cell>
          <cell r="E1397">
            <v>41127</v>
          </cell>
          <cell r="F1397" t="str">
            <v>TIER 3</v>
          </cell>
          <cell r="G1397" t="str">
            <v>UNSKILLED</v>
          </cell>
          <cell r="H1397">
            <v>450</v>
          </cell>
          <cell r="I1397">
            <v>40725</v>
          </cell>
        </row>
        <row r="1398">
          <cell r="A1398" t="str">
            <v>KALAIVANI A/P KRISHNAN</v>
          </cell>
          <cell r="B1398" t="str">
            <v>4 03632252</v>
          </cell>
          <cell r="C1398">
            <v>40549</v>
          </cell>
          <cell r="D1398" t="str">
            <v>WP LIVE</v>
          </cell>
          <cell r="E1398">
            <v>41230</v>
          </cell>
          <cell r="F1398" t="str">
            <v>TIER 3</v>
          </cell>
          <cell r="G1398" t="str">
            <v>UNSKILLED</v>
          </cell>
          <cell r="H1398">
            <v>450</v>
          </cell>
          <cell r="I1398">
            <v>40725</v>
          </cell>
        </row>
        <row r="1399">
          <cell r="A1399" t="str">
            <v>KALAVATIY A/P MUTHULINGAM</v>
          </cell>
          <cell r="B1399" t="str">
            <v>4 03106429</v>
          </cell>
          <cell r="C1399">
            <v>40659</v>
          </cell>
          <cell r="D1399" t="str">
            <v>WP LIVE</v>
          </cell>
          <cell r="E1399">
            <v>41406</v>
          </cell>
          <cell r="F1399" t="str">
            <v>TIER 3</v>
          </cell>
          <cell r="G1399" t="str">
            <v>UNSKILLED</v>
          </cell>
          <cell r="H1399">
            <v>450</v>
          </cell>
          <cell r="I1399">
            <v>40725</v>
          </cell>
        </row>
        <row r="1400">
          <cell r="A1400" t="str">
            <v>KALAYAVANI A/P BALAKRISHNAN</v>
          </cell>
          <cell r="B1400" t="str">
            <v>5 38763454</v>
          </cell>
          <cell r="C1400">
            <v>40701</v>
          </cell>
          <cell r="D1400" t="str">
            <v>WP LIVE</v>
          </cell>
          <cell r="E1400">
            <v>41338</v>
          </cell>
          <cell r="F1400" t="str">
            <v>TIER 3</v>
          </cell>
          <cell r="G1400" t="str">
            <v>UNSKILLED</v>
          </cell>
          <cell r="H1400">
            <v>450</v>
          </cell>
          <cell r="I1400">
            <v>40725</v>
          </cell>
        </row>
        <row r="1401">
          <cell r="A1401" t="str">
            <v>KALIAMAH A/P RAMANSAMY</v>
          </cell>
          <cell r="B1401" t="str">
            <v>4 03805939</v>
          </cell>
          <cell r="C1401">
            <v>40696</v>
          </cell>
          <cell r="D1401" t="str">
            <v>WP LIVE</v>
          </cell>
          <cell r="E1401">
            <v>41434</v>
          </cell>
          <cell r="F1401" t="str">
            <v>TIER 3</v>
          </cell>
          <cell r="G1401" t="str">
            <v>UNSKILLED</v>
          </cell>
          <cell r="H1401">
            <v>450</v>
          </cell>
          <cell r="I1401">
            <v>40725</v>
          </cell>
        </row>
        <row r="1402">
          <cell r="A1402" t="str">
            <v>KALIESVARI A/P PARAMASURIA</v>
          </cell>
          <cell r="B1402" t="str">
            <v>4 0381024-</v>
          </cell>
          <cell r="C1402">
            <v>40700</v>
          </cell>
          <cell r="D1402" t="str">
            <v>WP LIVE</v>
          </cell>
          <cell r="E1402">
            <v>41099</v>
          </cell>
          <cell r="F1402" t="str">
            <v>TIER 3</v>
          </cell>
          <cell r="G1402" t="str">
            <v>UNSKILLED</v>
          </cell>
          <cell r="H1402">
            <v>450</v>
          </cell>
          <cell r="I1402">
            <v>40725</v>
          </cell>
        </row>
        <row r="1403">
          <cell r="A1403" t="str">
            <v>KALIMAH A/P SIVAPRAKASAN</v>
          </cell>
          <cell r="B1403" t="str">
            <v>4 02814128</v>
          </cell>
          <cell r="C1403">
            <v>40599</v>
          </cell>
          <cell r="D1403" t="str">
            <v>WP LIVE</v>
          </cell>
          <cell r="E1403">
            <v>41191</v>
          </cell>
          <cell r="F1403" t="str">
            <v>TIER 3</v>
          </cell>
          <cell r="G1403" t="str">
            <v>UNSKILLED</v>
          </cell>
          <cell r="H1403">
            <v>450</v>
          </cell>
          <cell r="I1403">
            <v>40599</v>
          </cell>
        </row>
        <row r="1404">
          <cell r="A1404" t="str">
            <v>KALIMUTHU VELUTHAI A/P MAYANDI THEVAR</v>
          </cell>
          <cell r="B1404" t="str">
            <v>3 82830210</v>
          </cell>
          <cell r="C1404">
            <v>40709</v>
          </cell>
          <cell r="D1404" t="str">
            <v>WP APPROVED</v>
          </cell>
          <cell r="F1404" t="str">
            <v>TIER 3</v>
          </cell>
          <cell r="G1404" t="str">
            <v>UNSKILLED</v>
          </cell>
          <cell r="H1404">
            <v>450</v>
          </cell>
          <cell r="I1404">
            <v>40725</v>
          </cell>
        </row>
        <row r="1405">
          <cell r="A1405" t="str">
            <v>KALITHASAN A/L RAMASAMY</v>
          </cell>
          <cell r="B1405" t="str">
            <v>4 03833681</v>
          </cell>
          <cell r="C1405">
            <v>40719</v>
          </cell>
          <cell r="D1405" t="str">
            <v>WP APPROVED</v>
          </cell>
          <cell r="F1405" t="str">
            <v>TIER 3</v>
          </cell>
          <cell r="G1405" t="str">
            <v>UNSKILLED</v>
          </cell>
          <cell r="H1405">
            <v>450</v>
          </cell>
          <cell r="I1405">
            <v>40725</v>
          </cell>
        </row>
        <row r="1406">
          <cell r="A1406" t="str">
            <v>KALIYANE A/P RAJOO</v>
          </cell>
          <cell r="B1406" t="str">
            <v>4 03828912</v>
          </cell>
          <cell r="C1406">
            <v>40715</v>
          </cell>
          <cell r="D1406" t="str">
            <v>WP APPROVED</v>
          </cell>
          <cell r="F1406" t="str">
            <v>TIER 3</v>
          </cell>
          <cell r="G1406" t="str">
            <v>UNSKILLED</v>
          </cell>
          <cell r="H1406">
            <v>450</v>
          </cell>
          <cell r="I1406">
            <v>40725</v>
          </cell>
        </row>
        <row r="1407">
          <cell r="A1407" t="str">
            <v>KAMACHI A/P PALANISAMY</v>
          </cell>
          <cell r="B1407" t="str">
            <v>5 26832590</v>
          </cell>
          <cell r="C1407">
            <v>40548</v>
          </cell>
          <cell r="D1407" t="str">
            <v>WP LIVE</v>
          </cell>
          <cell r="E1407">
            <v>41226</v>
          </cell>
          <cell r="F1407" t="str">
            <v>TIER 3</v>
          </cell>
          <cell r="G1407" t="str">
            <v>UNSKILLED</v>
          </cell>
          <cell r="H1407">
            <v>450</v>
          </cell>
          <cell r="I1407">
            <v>40725</v>
          </cell>
        </row>
        <row r="1408">
          <cell r="A1408" t="str">
            <v>KAMACHY A/P LOGANATHAN</v>
          </cell>
          <cell r="B1408" t="str">
            <v>4 02966742</v>
          </cell>
          <cell r="C1408">
            <v>40603</v>
          </cell>
          <cell r="D1408" t="str">
            <v>WP LIVE</v>
          </cell>
          <cell r="E1408">
            <v>41322</v>
          </cell>
          <cell r="F1408" t="str">
            <v>TIER 3</v>
          </cell>
          <cell r="G1408" t="str">
            <v>UNSKILLED</v>
          </cell>
          <cell r="H1408">
            <v>450</v>
          </cell>
          <cell r="I1408">
            <v>40725</v>
          </cell>
        </row>
        <row r="1409">
          <cell r="A1409" t="str">
            <v>KAMALAM A/P SUBRAMANIAM</v>
          </cell>
          <cell r="B1409" t="str">
            <v>3 72292172</v>
          </cell>
          <cell r="C1409">
            <v>40610</v>
          </cell>
          <cell r="D1409" t="str">
            <v>WP LIVE</v>
          </cell>
          <cell r="E1409">
            <v>40819</v>
          </cell>
          <cell r="F1409" t="str">
            <v>TIER 3</v>
          </cell>
          <cell r="G1409" t="str">
            <v>UNSKILLED</v>
          </cell>
          <cell r="H1409">
            <v>450</v>
          </cell>
          <cell r="I1409">
            <v>40725</v>
          </cell>
        </row>
        <row r="1410">
          <cell r="A1410" t="str">
            <v>KAMALAVALLI A/P MARUPA</v>
          </cell>
          <cell r="B1410" t="str">
            <v>5 15310347</v>
          </cell>
          <cell r="C1410">
            <v>40555</v>
          </cell>
          <cell r="D1410" t="str">
            <v>WP LIVE</v>
          </cell>
          <cell r="E1410">
            <v>41299</v>
          </cell>
          <cell r="F1410" t="str">
            <v>TIER 3</v>
          </cell>
          <cell r="G1410" t="str">
            <v>UNSKILLED</v>
          </cell>
          <cell r="H1410">
            <v>450</v>
          </cell>
          <cell r="I1410">
            <v>40725</v>
          </cell>
        </row>
        <row r="1411">
          <cell r="A1411" t="str">
            <v>KAMARAN A/L MUNUSAMY</v>
          </cell>
          <cell r="B1411" t="str">
            <v>4 00932417</v>
          </cell>
          <cell r="C1411">
            <v>40554</v>
          </cell>
          <cell r="D1411" t="str">
            <v>WP LIVE</v>
          </cell>
          <cell r="E1411">
            <v>41294</v>
          </cell>
          <cell r="F1411" t="str">
            <v>TIER 3</v>
          </cell>
          <cell r="G1411" t="str">
            <v>UNSKILLED</v>
          </cell>
          <cell r="H1411">
            <v>450</v>
          </cell>
          <cell r="I1411">
            <v>40725</v>
          </cell>
        </row>
        <row r="1412">
          <cell r="A1412" t="str">
            <v>KAMINI A/P VERAN</v>
          </cell>
          <cell r="B1412" t="str">
            <v>4 0088157-</v>
          </cell>
          <cell r="C1412">
            <v>40543</v>
          </cell>
          <cell r="D1412" t="str">
            <v>WP LIVE</v>
          </cell>
          <cell r="E1412">
            <v>41293</v>
          </cell>
          <cell r="F1412" t="str">
            <v>TIER 3</v>
          </cell>
          <cell r="G1412" t="str">
            <v>UNSKILLED</v>
          </cell>
          <cell r="H1412">
            <v>450</v>
          </cell>
          <cell r="I1412">
            <v>40725</v>
          </cell>
        </row>
        <row r="1413">
          <cell r="A1413" t="str">
            <v>KANAGA A/P ANBALAGAN</v>
          </cell>
          <cell r="B1413" t="str">
            <v>4 03814164</v>
          </cell>
          <cell r="C1413">
            <v>40716</v>
          </cell>
          <cell r="D1413" t="str">
            <v>WP APPROVED</v>
          </cell>
          <cell r="F1413" t="str">
            <v>TIER 3</v>
          </cell>
          <cell r="G1413" t="str">
            <v>UNSKILLED</v>
          </cell>
          <cell r="H1413">
            <v>450</v>
          </cell>
          <cell r="I1413">
            <v>40725</v>
          </cell>
        </row>
        <row r="1414">
          <cell r="A1414" t="str">
            <v>KANAGASUARAN A/L CHILVARAJAH</v>
          </cell>
          <cell r="B1414" t="str">
            <v>4 03358061</v>
          </cell>
          <cell r="C1414">
            <v>40646</v>
          </cell>
          <cell r="D1414" t="str">
            <v>WP LIVE</v>
          </cell>
          <cell r="E1414">
            <v>40916</v>
          </cell>
          <cell r="F1414" t="str">
            <v>TIER 3</v>
          </cell>
          <cell r="G1414" t="str">
            <v>UNSKILLED</v>
          </cell>
          <cell r="H1414">
            <v>450</v>
          </cell>
          <cell r="I1414">
            <v>40725</v>
          </cell>
        </row>
        <row r="1415">
          <cell r="A1415" t="str">
            <v>KANAGASWARI A/P R PERUMAL</v>
          </cell>
          <cell r="B1415" t="str">
            <v>5 36018743</v>
          </cell>
          <cell r="C1415">
            <v>40589</v>
          </cell>
          <cell r="D1415" t="str">
            <v>WP LIVE</v>
          </cell>
          <cell r="E1415">
            <v>41341</v>
          </cell>
          <cell r="F1415" t="str">
            <v>TIER 3</v>
          </cell>
          <cell r="G1415" t="str">
            <v>UNSKILLED</v>
          </cell>
          <cell r="H1415">
            <v>450</v>
          </cell>
          <cell r="I1415">
            <v>40725</v>
          </cell>
        </row>
        <row r="1416">
          <cell r="A1416" t="str">
            <v>KANAGESWARY A/P RAMAMOORTHY</v>
          </cell>
          <cell r="B1416" t="str">
            <v>5 30088650</v>
          </cell>
          <cell r="C1416">
            <v>40666</v>
          </cell>
          <cell r="D1416" t="str">
            <v>WP LIVE</v>
          </cell>
          <cell r="E1416">
            <v>41416</v>
          </cell>
          <cell r="F1416" t="str">
            <v>TIER 3</v>
          </cell>
          <cell r="G1416" t="str">
            <v>UNSKILLED</v>
          </cell>
          <cell r="H1416">
            <v>450</v>
          </cell>
          <cell r="I1416">
            <v>40725</v>
          </cell>
        </row>
        <row r="1417">
          <cell r="A1417" t="str">
            <v>KANAKA VALLI A/P JAYARAMAN</v>
          </cell>
          <cell r="B1417" t="str">
            <v>4 01661093</v>
          </cell>
          <cell r="C1417">
            <v>40646</v>
          </cell>
          <cell r="D1417" t="str">
            <v>WP LIVE</v>
          </cell>
          <cell r="E1417">
            <v>41389</v>
          </cell>
          <cell r="F1417" t="str">
            <v>TIER 3</v>
          </cell>
          <cell r="G1417" t="str">
            <v>UNSKILLED</v>
          </cell>
          <cell r="H1417">
            <v>450</v>
          </cell>
          <cell r="I1417">
            <v>40725</v>
          </cell>
        </row>
        <row r="1418">
          <cell r="A1418" t="str">
            <v>KANIMALAR A/P ANGAMUTHU</v>
          </cell>
          <cell r="B1418" t="str">
            <v>4 02796480</v>
          </cell>
          <cell r="C1418">
            <v>40554</v>
          </cell>
          <cell r="D1418" t="str">
            <v>WP LIVE</v>
          </cell>
          <cell r="E1418">
            <v>41292</v>
          </cell>
          <cell r="F1418" t="str">
            <v>TIER 3</v>
          </cell>
          <cell r="G1418" t="str">
            <v>UNSKILLED</v>
          </cell>
          <cell r="H1418">
            <v>450</v>
          </cell>
          <cell r="I1418">
            <v>40554</v>
          </cell>
        </row>
        <row r="1419">
          <cell r="A1419" t="str">
            <v>KANIMOLI A/P G SINNASAMY</v>
          </cell>
          <cell r="B1419" t="str">
            <v>4 03615773</v>
          </cell>
          <cell r="C1419">
            <v>40667</v>
          </cell>
          <cell r="D1419" t="str">
            <v>WP LIVE</v>
          </cell>
          <cell r="E1419">
            <v>41217</v>
          </cell>
          <cell r="F1419" t="str">
            <v>TIER 3</v>
          </cell>
          <cell r="G1419" t="str">
            <v>UNSKILLED</v>
          </cell>
          <cell r="H1419">
            <v>450</v>
          </cell>
          <cell r="I1419">
            <v>40725</v>
          </cell>
        </row>
        <row r="1420">
          <cell r="A1420" t="str">
            <v>KANNAGI A/P LETCHEMANAN</v>
          </cell>
          <cell r="B1420" t="str">
            <v>5 03352702</v>
          </cell>
          <cell r="C1420">
            <v>40704</v>
          </cell>
          <cell r="D1420" t="str">
            <v>WP LIVE</v>
          </cell>
          <cell r="E1420">
            <v>41455</v>
          </cell>
          <cell r="F1420" t="str">
            <v>TIER 3</v>
          </cell>
          <cell r="G1420" t="str">
            <v>UNSKILLED</v>
          </cell>
          <cell r="H1420">
            <v>450</v>
          </cell>
          <cell r="I1420">
            <v>40725</v>
          </cell>
        </row>
        <row r="1421">
          <cell r="A1421" t="str">
            <v>KANNAN A/L RAMACHANDRAN</v>
          </cell>
          <cell r="B1421" t="str">
            <v>5 39380109</v>
          </cell>
          <cell r="C1421">
            <v>40707</v>
          </cell>
          <cell r="D1421" t="str">
            <v>WP LIVE</v>
          </cell>
          <cell r="E1421">
            <v>41268</v>
          </cell>
          <cell r="F1421" t="str">
            <v>TIER 3</v>
          </cell>
          <cell r="G1421" t="str">
            <v>UNSKILLED</v>
          </cell>
          <cell r="H1421">
            <v>450</v>
          </cell>
          <cell r="I1421">
            <v>40725</v>
          </cell>
        </row>
        <row r="1422">
          <cell r="A1422" t="str">
            <v>KARUMPAYEE A/P KALIAPPAN</v>
          </cell>
          <cell r="B1422" t="str">
            <v>3 58120113</v>
          </cell>
          <cell r="C1422">
            <v>40686</v>
          </cell>
          <cell r="D1422" t="str">
            <v>WP LIVE</v>
          </cell>
          <cell r="E1422">
            <v>41427</v>
          </cell>
          <cell r="F1422" t="str">
            <v>TIER 3</v>
          </cell>
          <cell r="G1422" t="str">
            <v>UNSKILLED</v>
          </cell>
          <cell r="H1422">
            <v>450</v>
          </cell>
          <cell r="I1422">
            <v>40725</v>
          </cell>
        </row>
        <row r="1423">
          <cell r="A1423" t="str">
            <v>KARUNAKARAN A/L RAMAN</v>
          </cell>
          <cell r="B1423" t="str">
            <v>5 0938598-</v>
          </cell>
          <cell r="C1423">
            <v>40604</v>
          </cell>
          <cell r="D1423" t="str">
            <v>WP LIVE</v>
          </cell>
          <cell r="E1423">
            <v>41204</v>
          </cell>
          <cell r="F1423" t="str">
            <v>TIER 3</v>
          </cell>
          <cell r="G1423" t="str">
            <v>UNSKILLED</v>
          </cell>
          <cell r="H1423">
            <v>450</v>
          </cell>
          <cell r="I1423">
            <v>40725</v>
          </cell>
        </row>
        <row r="1424">
          <cell r="A1424" t="str">
            <v>KASTHURI A/P ARUMUGAM</v>
          </cell>
          <cell r="B1424" t="str">
            <v>4 00213968</v>
          </cell>
          <cell r="C1424">
            <v>40651</v>
          </cell>
          <cell r="D1424" t="str">
            <v>WP LIVE</v>
          </cell>
          <cell r="E1424">
            <v>41255</v>
          </cell>
          <cell r="F1424" t="str">
            <v>TIER 3</v>
          </cell>
          <cell r="G1424" t="str">
            <v>UNSKILLED</v>
          </cell>
          <cell r="H1424">
            <v>450</v>
          </cell>
          <cell r="I1424">
            <v>40725</v>
          </cell>
        </row>
        <row r="1425">
          <cell r="A1425" t="str">
            <v>KASTURI A/P MURUGAYAH</v>
          </cell>
          <cell r="B1425" t="str">
            <v>4 03433969</v>
          </cell>
          <cell r="C1425">
            <v>40648</v>
          </cell>
          <cell r="D1425" t="str">
            <v>WP LIVE</v>
          </cell>
          <cell r="E1425">
            <v>41255</v>
          </cell>
          <cell r="F1425" t="str">
            <v>TIER 3</v>
          </cell>
          <cell r="G1425" t="str">
            <v>UNSKILLED</v>
          </cell>
          <cell r="H1425">
            <v>450</v>
          </cell>
          <cell r="I1425">
            <v>40725</v>
          </cell>
        </row>
        <row r="1426">
          <cell r="A1426" t="str">
            <v>KASTURI MUNIAMBAL A/P VARATHAN</v>
          </cell>
          <cell r="B1426" t="str">
            <v>5 29146698</v>
          </cell>
          <cell r="C1426">
            <v>40611</v>
          </cell>
          <cell r="D1426" t="str">
            <v>WP LIVE</v>
          </cell>
          <cell r="E1426">
            <v>41362</v>
          </cell>
          <cell r="F1426" t="str">
            <v>TIER 3</v>
          </cell>
          <cell r="G1426" t="str">
            <v>UNSKILLED</v>
          </cell>
          <cell r="H1426">
            <v>450</v>
          </cell>
          <cell r="I1426">
            <v>40725</v>
          </cell>
        </row>
        <row r="1427">
          <cell r="A1427" t="str">
            <v>KAVITHA NAGAPPAN</v>
          </cell>
          <cell r="B1427" t="str">
            <v>4 03743062</v>
          </cell>
          <cell r="C1427">
            <v>40646</v>
          </cell>
          <cell r="D1427" t="str">
            <v>WP LIVE</v>
          </cell>
          <cell r="E1427">
            <v>41315</v>
          </cell>
          <cell r="F1427" t="str">
            <v>TIER 3</v>
          </cell>
          <cell r="G1427" t="str">
            <v>UNSKILLED</v>
          </cell>
          <cell r="H1427">
            <v>450</v>
          </cell>
          <cell r="I1427">
            <v>40725</v>
          </cell>
        </row>
        <row r="1428">
          <cell r="A1428" t="str">
            <v>KERISTNA A/P SURASH</v>
          </cell>
          <cell r="B1428" t="str">
            <v>4 03809993</v>
          </cell>
          <cell r="C1428">
            <v>40700</v>
          </cell>
          <cell r="D1428" t="str">
            <v>WP LIVE</v>
          </cell>
          <cell r="E1428">
            <v>41449</v>
          </cell>
          <cell r="F1428" t="str">
            <v>TIER 3</v>
          </cell>
          <cell r="G1428" t="str">
            <v>UNSKILLED</v>
          </cell>
          <cell r="H1428">
            <v>450</v>
          </cell>
          <cell r="I1428">
            <v>40725</v>
          </cell>
        </row>
        <row r="1429">
          <cell r="A1429" t="str">
            <v>KHAIRUL AZUAN BIN MOHD TARMIZI</v>
          </cell>
          <cell r="B1429" t="str">
            <v>4 03736139</v>
          </cell>
          <cell r="C1429">
            <v>40688</v>
          </cell>
          <cell r="D1429" t="str">
            <v>WP LIVE</v>
          </cell>
          <cell r="E1429">
            <v>41341</v>
          </cell>
          <cell r="F1429" t="str">
            <v>TIER 3</v>
          </cell>
          <cell r="G1429" t="str">
            <v>UNSKILLED</v>
          </cell>
          <cell r="H1429">
            <v>450</v>
          </cell>
          <cell r="I1429">
            <v>40725</v>
          </cell>
        </row>
        <row r="1430">
          <cell r="A1430" t="str">
            <v>KHALAISELVY A/P POLAYA</v>
          </cell>
          <cell r="B1430" t="str">
            <v>4 00608822</v>
          </cell>
          <cell r="C1430">
            <v>40704</v>
          </cell>
          <cell r="D1430" t="str">
            <v>WP LIVE</v>
          </cell>
          <cell r="E1430">
            <v>41367</v>
          </cell>
          <cell r="F1430" t="str">
            <v>TIER 3</v>
          </cell>
          <cell r="G1430" t="str">
            <v>UNSKILLED</v>
          </cell>
          <cell r="H1430">
            <v>450</v>
          </cell>
          <cell r="I1430">
            <v>40725</v>
          </cell>
        </row>
        <row r="1431">
          <cell r="A1431" t="str">
            <v>KHALIDAS A/L FRANCIS</v>
          </cell>
          <cell r="B1431" t="str">
            <v>4 03341894</v>
          </cell>
          <cell r="C1431">
            <v>40679</v>
          </cell>
          <cell r="D1431" t="str">
            <v>WP LIVE</v>
          </cell>
          <cell r="E1431">
            <v>41293</v>
          </cell>
          <cell r="F1431" t="str">
            <v>TIER 3</v>
          </cell>
          <cell r="G1431" t="str">
            <v>UNSKILLED</v>
          </cell>
          <cell r="H1431">
            <v>450</v>
          </cell>
          <cell r="I1431">
            <v>40725</v>
          </cell>
        </row>
        <row r="1432">
          <cell r="A1432" t="str">
            <v>KHARTIYAYINI A/P FRANCIS</v>
          </cell>
          <cell r="B1432" t="str">
            <v>4 03811874</v>
          </cell>
          <cell r="C1432">
            <v>40701</v>
          </cell>
          <cell r="D1432" t="str">
            <v>WP LIVE</v>
          </cell>
          <cell r="E1432">
            <v>41391</v>
          </cell>
          <cell r="F1432" t="str">
            <v>TIER 3</v>
          </cell>
          <cell r="G1432" t="str">
            <v>UNSKILLED</v>
          </cell>
          <cell r="H1432">
            <v>450</v>
          </cell>
          <cell r="I1432">
            <v>40725</v>
          </cell>
        </row>
        <row r="1433">
          <cell r="A1433" t="str">
            <v>KOGILAVANI A/P MARUPA</v>
          </cell>
          <cell r="B1433" t="str">
            <v>4 0384229-</v>
          </cell>
          <cell r="C1433">
            <v>40726</v>
          </cell>
          <cell r="D1433" t="str">
            <v>WP APPROVED</v>
          </cell>
          <cell r="F1433" t="str">
            <v>TIER 3</v>
          </cell>
          <cell r="G1433" t="str">
            <v>UNSKILLED</v>
          </cell>
          <cell r="H1433">
            <v>450</v>
          </cell>
          <cell r="I1433">
            <v>40726</v>
          </cell>
        </row>
        <row r="1434">
          <cell r="A1434" t="str">
            <v>KOMALATHA A/P MUNIANDY</v>
          </cell>
          <cell r="B1434" t="str">
            <v>4 0261210-</v>
          </cell>
          <cell r="C1434">
            <v>40701</v>
          </cell>
          <cell r="D1434" t="str">
            <v>WP LIVE</v>
          </cell>
          <cell r="E1434">
            <v>41346</v>
          </cell>
          <cell r="F1434" t="str">
            <v>TIER 3</v>
          </cell>
          <cell r="G1434" t="str">
            <v>UNSKILLED</v>
          </cell>
          <cell r="H1434">
            <v>450</v>
          </cell>
          <cell r="I1434">
            <v>40725</v>
          </cell>
        </row>
        <row r="1435">
          <cell r="A1435" t="str">
            <v>KOMATHI A/P DORARAJI</v>
          </cell>
          <cell r="B1435" t="str">
            <v>4 0374011-</v>
          </cell>
          <cell r="C1435">
            <v>40645</v>
          </cell>
          <cell r="D1435" t="str">
            <v>WP LIVE</v>
          </cell>
          <cell r="E1435">
            <v>41398</v>
          </cell>
          <cell r="F1435" t="str">
            <v>TIER 3</v>
          </cell>
          <cell r="G1435" t="str">
            <v>UNSKILLED</v>
          </cell>
          <cell r="H1435">
            <v>450</v>
          </cell>
          <cell r="I1435">
            <v>40725</v>
          </cell>
        </row>
        <row r="1436">
          <cell r="A1436" t="str">
            <v>KOOGILA A/P KANASAN</v>
          </cell>
          <cell r="B1436" t="str">
            <v>4 03090018</v>
          </cell>
          <cell r="C1436">
            <v>40651</v>
          </cell>
          <cell r="D1436" t="str">
            <v>WP LIVE</v>
          </cell>
          <cell r="E1436">
            <v>41403</v>
          </cell>
          <cell r="F1436" t="str">
            <v>TIER 3</v>
          </cell>
          <cell r="G1436" t="str">
            <v>UNSKILLED</v>
          </cell>
          <cell r="H1436">
            <v>450</v>
          </cell>
          <cell r="I1436">
            <v>40725</v>
          </cell>
        </row>
        <row r="1437">
          <cell r="A1437" t="str">
            <v>KOONG CHUN CHEAT</v>
          </cell>
          <cell r="B1437" t="str">
            <v>5 14660816</v>
          </cell>
          <cell r="C1437">
            <v>40596</v>
          </cell>
          <cell r="D1437" t="str">
            <v>WP LIVE</v>
          </cell>
          <cell r="E1437">
            <v>41155</v>
          </cell>
          <cell r="F1437" t="str">
            <v>TIER 3</v>
          </cell>
          <cell r="G1437" t="str">
            <v>UNSKILLED</v>
          </cell>
          <cell r="H1437">
            <v>450</v>
          </cell>
          <cell r="I1437">
            <v>40596</v>
          </cell>
        </row>
        <row r="1438">
          <cell r="A1438" t="str">
            <v>KRISHNAVENI A/P MUNUSAMY</v>
          </cell>
          <cell r="B1438" t="str">
            <v>4 02967552</v>
          </cell>
          <cell r="C1438">
            <v>40666</v>
          </cell>
          <cell r="D1438" t="str">
            <v>WP LIVE</v>
          </cell>
          <cell r="E1438">
            <v>41409</v>
          </cell>
          <cell r="F1438" t="str">
            <v>TIER 3</v>
          </cell>
          <cell r="G1438" t="str">
            <v>UNSKILLED</v>
          </cell>
          <cell r="H1438">
            <v>450</v>
          </cell>
          <cell r="I1438">
            <v>40725</v>
          </cell>
        </row>
        <row r="1439">
          <cell r="A1439" t="str">
            <v>KRISHNAVENY A/P CHINNIAH</v>
          </cell>
          <cell r="B1439" t="str">
            <v>3 64087853</v>
          </cell>
          <cell r="C1439">
            <v>40581</v>
          </cell>
          <cell r="D1439" t="str">
            <v>WP LIVE</v>
          </cell>
          <cell r="E1439">
            <v>41219</v>
          </cell>
          <cell r="F1439" t="str">
            <v>TIER 3</v>
          </cell>
          <cell r="G1439" t="str">
            <v>UNSKILLED</v>
          </cell>
          <cell r="H1439">
            <v>450</v>
          </cell>
          <cell r="I1439">
            <v>40725</v>
          </cell>
        </row>
        <row r="1440">
          <cell r="A1440" t="str">
            <v>KUMARAN A/L NAGALINGAM</v>
          </cell>
          <cell r="B1440" t="str">
            <v>4 02674172</v>
          </cell>
          <cell r="C1440">
            <v>40711</v>
          </cell>
          <cell r="D1440" t="str">
            <v>WP LIVE</v>
          </cell>
          <cell r="E1440">
            <v>41454</v>
          </cell>
          <cell r="F1440" t="str">
            <v>TIER 3</v>
          </cell>
          <cell r="G1440" t="str">
            <v>UNSKILLED</v>
          </cell>
          <cell r="H1440">
            <v>450</v>
          </cell>
          <cell r="I1440">
            <v>40725</v>
          </cell>
        </row>
        <row r="1441">
          <cell r="A1441" t="str">
            <v>KUMARI A/P MANIAM</v>
          </cell>
          <cell r="B1441" t="str">
            <v>4 01731741</v>
          </cell>
          <cell r="C1441">
            <v>40627</v>
          </cell>
          <cell r="D1441" t="str">
            <v>WP LIVE</v>
          </cell>
          <cell r="E1441">
            <v>41102</v>
          </cell>
          <cell r="F1441" t="str">
            <v>TIER 3</v>
          </cell>
          <cell r="G1441" t="str">
            <v>UNSKILLED</v>
          </cell>
          <cell r="H1441">
            <v>450</v>
          </cell>
          <cell r="I1441">
            <v>40725</v>
          </cell>
        </row>
        <row r="1442">
          <cell r="A1442" t="str">
            <v>KUMARI A/P MUNIADY</v>
          </cell>
          <cell r="B1442" t="str">
            <v>4 03637610</v>
          </cell>
          <cell r="C1442">
            <v>40563</v>
          </cell>
          <cell r="D1442" t="str">
            <v>WP LIVE</v>
          </cell>
          <cell r="E1442">
            <v>41230</v>
          </cell>
          <cell r="F1442" t="str">
            <v>TIER 3</v>
          </cell>
          <cell r="G1442" t="str">
            <v>UNSKILLED</v>
          </cell>
          <cell r="H1442">
            <v>450</v>
          </cell>
          <cell r="I1442">
            <v>40725</v>
          </cell>
        </row>
        <row r="1443">
          <cell r="A1443" t="str">
            <v>KUNA SEGARAN A/L PARAMASIVAM</v>
          </cell>
          <cell r="B1443" t="str">
            <v>4 03238716</v>
          </cell>
          <cell r="C1443">
            <v>40716</v>
          </cell>
          <cell r="D1443" t="str">
            <v>WP APPROVED</v>
          </cell>
          <cell r="F1443" t="str">
            <v>TIER 3</v>
          </cell>
          <cell r="G1443" t="str">
            <v>UNSKILLED</v>
          </cell>
          <cell r="H1443">
            <v>450</v>
          </cell>
          <cell r="I1443">
            <v>40725</v>
          </cell>
        </row>
        <row r="1444">
          <cell r="A1444" t="str">
            <v>LAI ING LIAN</v>
          </cell>
          <cell r="B1444" t="str">
            <v>4 03677396</v>
          </cell>
          <cell r="C1444">
            <v>40602</v>
          </cell>
          <cell r="D1444" t="str">
            <v>WP LIVE</v>
          </cell>
          <cell r="E1444">
            <v>41141</v>
          </cell>
          <cell r="F1444" t="str">
            <v>TIER 3</v>
          </cell>
          <cell r="G1444" t="str">
            <v>UNSKILLED</v>
          </cell>
          <cell r="H1444">
            <v>450</v>
          </cell>
          <cell r="I1444">
            <v>40725</v>
          </cell>
        </row>
        <row r="1445">
          <cell r="A1445" t="str">
            <v>LASHMAN A/L SILVARAJOO</v>
          </cell>
          <cell r="B1445" t="str">
            <v>4 0255407-</v>
          </cell>
          <cell r="C1445">
            <v>40602</v>
          </cell>
          <cell r="D1445" t="str">
            <v>WP LIVE</v>
          </cell>
          <cell r="E1445">
            <v>41284</v>
          </cell>
          <cell r="F1445" t="str">
            <v>TIER 3</v>
          </cell>
          <cell r="G1445" t="str">
            <v>UNSKILLED</v>
          </cell>
          <cell r="H1445">
            <v>450</v>
          </cell>
          <cell r="I1445">
            <v>40725</v>
          </cell>
        </row>
        <row r="1446">
          <cell r="A1446" t="str">
            <v>LEE GUAN SHOO</v>
          </cell>
          <cell r="B1446" t="str">
            <v>3 4961877-</v>
          </cell>
          <cell r="C1446">
            <v>40583</v>
          </cell>
          <cell r="D1446" t="str">
            <v>WP LIVE</v>
          </cell>
          <cell r="E1446">
            <v>41332</v>
          </cell>
          <cell r="F1446" t="str">
            <v>TIER 3</v>
          </cell>
          <cell r="G1446" t="str">
            <v>UNSKILLED</v>
          </cell>
          <cell r="H1446">
            <v>450</v>
          </cell>
          <cell r="I1446">
            <v>40725</v>
          </cell>
        </row>
        <row r="1447">
          <cell r="A1447" t="str">
            <v>LELA A/P THANGARAJU</v>
          </cell>
          <cell r="B1447" t="str">
            <v>5 18216457</v>
          </cell>
          <cell r="C1447">
            <v>40641</v>
          </cell>
          <cell r="D1447" t="str">
            <v>WP LIVE</v>
          </cell>
          <cell r="E1447">
            <v>41282</v>
          </cell>
          <cell r="F1447" t="str">
            <v>TIER 3</v>
          </cell>
          <cell r="G1447" t="str">
            <v>UNSKILLED</v>
          </cell>
          <cell r="H1447">
            <v>450</v>
          </cell>
          <cell r="I1447">
            <v>40725</v>
          </cell>
        </row>
        <row r="1448">
          <cell r="A1448" t="str">
            <v>LEONG LEE YOON</v>
          </cell>
          <cell r="B1448" t="str">
            <v>3 70405166</v>
          </cell>
          <cell r="C1448">
            <v>40690</v>
          </cell>
          <cell r="D1448" t="str">
            <v>WP LIVE</v>
          </cell>
          <cell r="E1448">
            <v>41389</v>
          </cell>
          <cell r="F1448" t="str">
            <v>TIER 3</v>
          </cell>
          <cell r="G1448" t="str">
            <v>UNSKILLED</v>
          </cell>
          <cell r="H1448">
            <v>450</v>
          </cell>
          <cell r="I1448">
            <v>40725</v>
          </cell>
        </row>
        <row r="1449">
          <cell r="A1449" t="str">
            <v>LETCHEMY A/P SUPPAN</v>
          </cell>
          <cell r="B1449" t="str">
            <v>5 04525457</v>
          </cell>
          <cell r="C1449">
            <v>40701</v>
          </cell>
          <cell r="D1449" t="str">
            <v>WP LIVE</v>
          </cell>
          <cell r="E1449">
            <v>41446</v>
          </cell>
          <cell r="F1449" t="str">
            <v>TIER 3</v>
          </cell>
          <cell r="G1449" t="str">
            <v>UNSKILLED</v>
          </cell>
          <cell r="H1449">
            <v>450</v>
          </cell>
          <cell r="I1449">
            <v>40725</v>
          </cell>
        </row>
        <row r="1450">
          <cell r="A1450" t="str">
            <v>LETCHUMANAN A/L RAJU</v>
          </cell>
          <cell r="B1450" t="str">
            <v>4 02724838</v>
          </cell>
          <cell r="C1450">
            <v>40611</v>
          </cell>
          <cell r="D1450" t="str">
            <v>WP LIVE</v>
          </cell>
          <cell r="E1450">
            <v>41002</v>
          </cell>
          <cell r="F1450" t="str">
            <v>TIER 3</v>
          </cell>
          <cell r="G1450" t="str">
            <v>UNSKILLED</v>
          </cell>
          <cell r="H1450">
            <v>450</v>
          </cell>
          <cell r="I1450">
            <v>40725</v>
          </cell>
        </row>
        <row r="1451">
          <cell r="A1451" t="str">
            <v>LETCHUMI A/P KANNAN</v>
          </cell>
          <cell r="B1451" t="str">
            <v>5 27738601</v>
          </cell>
          <cell r="C1451">
            <v>40702</v>
          </cell>
          <cell r="D1451" t="str">
            <v>WP LIVE</v>
          </cell>
          <cell r="E1451">
            <v>41333</v>
          </cell>
          <cell r="F1451" t="str">
            <v>TIER 3</v>
          </cell>
          <cell r="G1451" t="str">
            <v>UNSKILLED</v>
          </cell>
          <cell r="H1451">
            <v>450</v>
          </cell>
          <cell r="I1451">
            <v>40725</v>
          </cell>
        </row>
        <row r="1452">
          <cell r="A1452" t="str">
            <v>LETCHUMI A/P THANABALAN</v>
          </cell>
          <cell r="B1452" t="str">
            <v>5 38462691</v>
          </cell>
          <cell r="C1452">
            <v>40521</v>
          </cell>
          <cell r="D1452" t="str">
            <v>WP LIVE</v>
          </cell>
          <cell r="E1452">
            <v>40955</v>
          </cell>
          <cell r="F1452" t="str">
            <v>TIER 3</v>
          </cell>
          <cell r="G1452" t="str">
            <v>UNSKILLED</v>
          </cell>
          <cell r="H1452">
            <v>450</v>
          </cell>
          <cell r="I1452">
            <v>40725</v>
          </cell>
        </row>
        <row r="1453">
          <cell r="A1453" t="str">
            <v>LETCHUMI A/P VELLOO</v>
          </cell>
          <cell r="B1453" t="str">
            <v>4 0354910-</v>
          </cell>
          <cell r="C1453">
            <v>40696</v>
          </cell>
          <cell r="D1453" t="str">
            <v>WP LIVE</v>
          </cell>
          <cell r="E1453">
            <v>41072</v>
          </cell>
          <cell r="F1453" t="str">
            <v>TIER 3</v>
          </cell>
          <cell r="G1453" t="str">
            <v>UNSKILLED</v>
          </cell>
          <cell r="H1453">
            <v>450</v>
          </cell>
          <cell r="I1453">
            <v>40725</v>
          </cell>
        </row>
        <row r="1454">
          <cell r="A1454" t="str">
            <v>LI DANDAN</v>
          </cell>
          <cell r="B1454" t="str">
            <v>0 74332064</v>
          </cell>
          <cell r="C1454">
            <v>40612</v>
          </cell>
          <cell r="D1454" t="str">
            <v>WP LIVE</v>
          </cell>
          <cell r="E1454">
            <v>41347</v>
          </cell>
          <cell r="F1454" t="str">
            <v>TIER 3</v>
          </cell>
          <cell r="G1454" t="str">
            <v>UNSKILLED</v>
          </cell>
          <cell r="H1454">
            <v>450</v>
          </cell>
          <cell r="I1454">
            <v>40725</v>
          </cell>
        </row>
        <row r="1455">
          <cell r="A1455" t="str">
            <v>LI GUANGMING</v>
          </cell>
          <cell r="B1455" t="str">
            <v>0 72315332</v>
          </cell>
          <cell r="C1455">
            <v>40612</v>
          </cell>
          <cell r="D1455" t="str">
            <v>WP LIVE</v>
          </cell>
          <cell r="E1455">
            <v>41347</v>
          </cell>
          <cell r="F1455" t="str">
            <v>TIER 3</v>
          </cell>
          <cell r="G1455" t="str">
            <v>UNSKILLED</v>
          </cell>
          <cell r="H1455">
            <v>450</v>
          </cell>
          <cell r="I1455">
            <v>40725</v>
          </cell>
        </row>
        <row r="1456">
          <cell r="A1456" t="str">
            <v>LI HENGXIANG</v>
          </cell>
          <cell r="B1456" t="str">
            <v>0 7433167-</v>
          </cell>
          <cell r="C1456">
            <v>40611</v>
          </cell>
          <cell r="D1456" t="str">
            <v>WP LIVE</v>
          </cell>
          <cell r="E1456">
            <v>41347</v>
          </cell>
          <cell r="F1456" t="str">
            <v>TIER 3</v>
          </cell>
          <cell r="G1456" t="str">
            <v>UNSKILLED</v>
          </cell>
          <cell r="H1456">
            <v>450</v>
          </cell>
          <cell r="I1456">
            <v>40725</v>
          </cell>
        </row>
        <row r="1457">
          <cell r="A1457" t="str">
            <v>LI HUAIZHENG</v>
          </cell>
          <cell r="B1457" t="str">
            <v>0 74493122</v>
          </cell>
          <cell r="C1457">
            <v>40703</v>
          </cell>
          <cell r="D1457" t="str">
            <v>WP APPROVED</v>
          </cell>
          <cell r="F1457" t="str">
            <v>TIER 3</v>
          </cell>
          <cell r="G1457" t="str">
            <v>UNSKILLED</v>
          </cell>
          <cell r="H1457">
            <v>450</v>
          </cell>
          <cell r="I1457">
            <v>40725</v>
          </cell>
        </row>
        <row r="1458">
          <cell r="A1458" t="str">
            <v>LI MEI</v>
          </cell>
          <cell r="B1458" t="str">
            <v>0 74331718</v>
          </cell>
          <cell r="C1458">
            <v>40611</v>
          </cell>
          <cell r="D1458" t="str">
            <v>WP LIVE</v>
          </cell>
          <cell r="E1458">
            <v>41347</v>
          </cell>
          <cell r="F1458" t="str">
            <v>TIER 3</v>
          </cell>
          <cell r="G1458" t="str">
            <v>UNSKILLED</v>
          </cell>
          <cell r="H1458">
            <v>450</v>
          </cell>
          <cell r="I1458">
            <v>40725</v>
          </cell>
        </row>
        <row r="1459">
          <cell r="A1459" t="str">
            <v>LI SUNI</v>
          </cell>
          <cell r="B1459" t="str">
            <v>0 7438885-</v>
          </cell>
          <cell r="C1459">
            <v>40640</v>
          </cell>
          <cell r="D1459" t="str">
            <v>WP LIVE</v>
          </cell>
          <cell r="E1459">
            <v>41381</v>
          </cell>
          <cell r="F1459" t="str">
            <v>TIER 3</v>
          </cell>
          <cell r="G1459" t="str">
            <v>UNSKILLED</v>
          </cell>
          <cell r="H1459">
            <v>450</v>
          </cell>
          <cell r="I1459">
            <v>40725</v>
          </cell>
        </row>
        <row r="1460">
          <cell r="A1460" t="str">
            <v>LI TINGMAN</v>
          </cell>
          <cell r="B1460" t="str">
            <v>0 74521754</v>
          </cell>
          <cell r="C1460">
            <v>40722</v>
          </cell>
          <cell r="D1460" t="str">
            <v>WP APPROVED</v>
          </cell>
          <cell r="F1460" t="str">
            <v>TIER 3</v>
          </cell>
          <cell r="G1460" t="str">
            <v>UNSKILLED</v>
          </cell>
          <cell r="H1460">
            <v>450</v>
          </cell>
          <cell r="I1460">
            <v>40725</v>
          </cell>
        </row>
        <row r="1461">
          <cell r="A1461" t="str">
            <v>LI WENHUA</v>
          </cell>
          <cell r="B1461" t="str">
            <v>0 74493092</v>
          </cell>
          <cell r="C1461">
            <v>40703</v>
          </cell>
          <cell r="D1461" t="str">
            <v>WP LIVE</v>
          </cell>
          <cell r="E1461">
            <v>41438</v>
          </cell>
          <cell r="F1461" t="str">
            <v>TIER 3</v>
          </cell>
          <cell r="G1461" t="str">
            <v>UNSKILLED</v>
          </cell>
          <cell r="H1461">
            <v>450</v>
          </cell>
          <cell r="I1461">
            <v>40725</v>
          </cell>
        </row>
        <row r="1462">
          <cell r="A1462" t="str">
            <v>LIM KEAN TEONG</v>
          </cell>
          <cell r="B1462" t="str">
            <v>3 52719919</v>
          </cell>
          <cell r="C1462">
            <v>40632</v>
          </cell>
          <cell r="D1462" t="str">
            <v>WP LIVE</v>
          </cell>
          <cell r="E1462">
            <v>40995</v>
          </cell>
          <cell r="F1462" t="str">
            <v>TIER 3</v>
          </cell>
          <cell r="G1462" t="str">
            <v>UNSKILLED</v>
          </cell>
          <cell r="H1462">
            <v>450</v>
          </cell>
          <cell r="I1462">
            <v>40725</v>
          </cell>
        </row>
        <row r="1463">
          <cell r="A1463" t="str">
            <v>LIM SIN HENG</v>
          </cell>
          <cell r="B1463" t="str">
            <v>4 00103666</v>
          </cell>
          <cell r="C1463">
            <v>40695</v>
          </cell>
          <cell r="D1463" t="str">
            <v>WP LIVE</v>
          </cell>
          <cell r="E1463">
            <v>41225</v>
          </cell>
          <cell r="F1463" t="str">
            <v>TIER 3</v>
          </cell>
          <cell r="G1463" t="str">
            <v>UNSKILLED</v>
          </cell>
          <cell r="H1463">
            <v>450</v>
          </cell>
          <cell r="I1463">
            <v>40725</v>
          </cell>
        </row>
        <row r="1464">
          <cell r="A1464" t="str">
            <v>LIN KOOI SIN</v>
          </cell>
          <cell r="B1464" t="str">
            <v>5 1854408-</v>
          </cell>
          <cell r="C1464">
            <v>40688</v>
          </cell>
          <cell r="D1464" t="str">
            <v>WP LIVE</v>
          </cell>
          <cell r="E1464">
            <v>41437</v>
          </cell>
          <cell r="F1464" t="str">
            <v>TIER 3</v>
          </cell>
          <cell r="G1464" t="str">
            <v>UNSKILLED</v>
          </cell>
          <cell r="H1464">
            <v>450</v>
          </cell>
          <cell r="I1464">
            <v>40725</v>
          </cell>
        </row>
        <row r="1465">
          <cell r="A1465" t="str">
            <v>LIU CHUNJIE</v>
          </cell>
          <cell r="B1465" t="str">
            <v>0 72548779</v>
          </cell>
          <cell r="C1465">
            <v>40722</v>
          </cell>
          <cell r="D1465" t="str">
            <v>WP APPROVED</v>
          </cell>
          <cell r="F1465" t="str">
            <v>TIER 3</v>
          </cell>
          <cell r="G1465" t="str">
            <v>UNSKILLED</v>
          </cell>
          <cell r="H1465">
            <v>450</v>
          </cell>
          <cell r="I1465">
            <v>40725</v>
          </cell>
        </row>
        <row r="1466">
          <cell r="A1466" t="str">
            <v>LIU XIANGLI</v>
          </cell>
          <cell r="B1466" t="str">
            <v>0 74443435</v>
          </cell>
          <cell r="C1466">
            <v>40675</v>
          </cell>
          <cell r="D1466" t="str">
            <v>WP LIVE</v>
          </cell>
          <cell r="E1466">
            <v>41411</v>
          </cell>
          <cell r="F1466" t="str">
            <v>TIER 3</v>
          </cell>
          <cell r="G1466" t="str">
            <v>UNSKILLED</v>
          </cell>
          <cell r="H1466">
            <v>450</v>
          </cell>
          <cell r="I1466">
            <v>40725</v>
          </cell>
        </row>
        <row r="1467">
          <cell r="A1467" t="str">
            <v>LIU XINKANG</v>
          </cell>
          <cell r="B1467" t="str">
            <v>0 74493165</v>
          </cell>
          <cell r="C1467">
            <v>40703</v>
          </cell>
          <cell r="D1467" t="str">
            <v>WP LIVE</v>
          </cell>
          <cell r="E1467">
            <v>41438</v>
          </cell>
          <cell r="F1467" t="str">
            <v>TIER 3</v>
          </cell>
          <cell r="G1467" t="str">
            <v>UNSKILLED</v>
          </cell>
          <cell r="H1467">
            <v>450</v>
          </cell>
          <cell r="I1467">
            <v>40725</v>
          </cell>
        </row>
        <row r="1468">
          <cell r="A1468" t="str">
            <v>LIU YAN</v>
          </cell>
          <cell r="B1468" t="str">
            <v>0 74414249</v>
          </cell>
          <cell r="C1468">
            <v>40654</v>
          </cell>
          <cell r="D1468" t="str">
            <v>WP LIVE</v>
          </cell>
          <cell r="E1468">
            <v>41392</v>
          </cell>
          <cell r="F1468" t="str">
            <v>TIER 3</v>
          </cell>
          <cell r="G1468" t="str">
            <v>UNSKILLED</v>
          </cell>
          <cell r="H1468">
            <v>450</v>
          </cell>
          <cell r="I1468">
            <v>40725</v>
          </cell>
        </row>
        <row r="1469">
          <cell r="A1469" t="str">
            <v>LIU YANQIN</v>
          </cell>
          <cell r="B1469" t="str">
            <v>0 74505295</v>
          </cell>
          <cell r="C1469">
            <v>40709</v>
          </cell>
          <cell r="D1469" t="str">
            <v>WP APPROVED</v>
          </cell>
          <cell r="F1469" t="str">
            <v>TIER 3</v>
          </cell>
          <cell r="G1469" t="str">
            <v>UNSKILLED</v>
          </cell>
          <cell r="H1469">
            <v>450</v>
          </cell>
          <cell r="I1469">
            <v>40725</v>
          </cell>
        </row>
        <row r="1470">
          <cell r="A1470" t="str">
            <v>LIU YUCHANG</v>
          </cell>
          <cell r="B1470" t="str">
            <v>0 74505775</v>
          </cell>
          <cell r="C1470">
            <v>40709</v>
          </cell>
          <cell r="D1470" t="str">
            <v>WP APPROVED</v>
          </cell>
          <cell r="F1470" t="str">
            <v>TIER 3</v>
          </cell>
          <cell r="G1470" t="str">
            <v>UNSKILLED</v>
          </cell>
          <cell r="H1470">
            <v>450</v>
          </cell>
          <cell r="I1470">
            <v>40725</v>
          </cell>
        </row>
        <row r="1471">
          <cell r="A1471" t="str">
            <v>LIU ZHAOPING</v>
          </cell>
          <cell r="B1471" t="str">
            <v>0 74422365</v>
          </cell>
          <cell r="C1471">
            <v>40661</v>
          </cell>
          <cell r="D1471" t="str">
            <v>WP LIVE</v>
          </cell>
          <cell r="E1471">
            <v>41405</v>
          </cell>
          <cell r="F1471" t="str">
            <v>TIER 3</v>
          </cell>
          <cell r="G1471" t="str">
            <v>UNSKILLED</v>
          </cell>
          <cell r="H1471">
            <v>450</v>
          </cell>
          <cell r="I1471">
            <v>40661</v>
          </cell>
        </row>
        <row r="1472">
          <cell r="A1472" t="str">
            <v>LIU ZHENGQUAN</v>
          </cell>
          <cell r="B1472" t="str">
            <v>0 74289355</v>
          </cell>
          <cell r="C1472">
            <v>40582</v>
          </cell>
          <cell r="D1472" t="str">
            <v>WP LIVE</v>
          </cell>
          <cell r="E1472">
            <v>41319</v>
          </cell>
          <cell r="F1472" t="str">
            <v>TIER 3</v>
          </cell>
          <cell r="G1472" t="str">
            <v>UNSKILLED</v>
          </cell>
          <cell r="H1472">
            <v>450</v>
          </cell>
          <cell r="I1472">
            <v>40725</v>
          </cell>
        </row>
        <row r="1473">
          <cell r="A1473" t="str">
            <v>LOGANATHAN A/L P PERIASAMY</v>
          </cell>
          <cell r="B1473" t="str">
            <v>4 01207287</v>
          </cell>
          <cell r="C1473">
            <v>40707</v>
          </cell>
          <cell r="D1473" t="str">
            <v>WP LIVE</v>
          </cell>
          <cell r="E1473">
            <v>41452</v>
          </cell>
          <cell r="F1473" t="str">
            <v>TIER 3</v>
          </cell>
          <cell r="G1473" t="str">
            <v>UNSKILLED</v>
          </cell>
          <cell r="H1473">
            <v>450</v>
          </cell>
          <cell r="I1473">
            <v>40725</v>
          </cell>
        </row>
        <row r="1474">
          <cell r="A1474" t="str">
            <v>LOGANATHEN A/L KANESON</v>
          </cell>
          <cell r="B1474" t="str">
            <v>4 03659533</v>
          </cell>
          <cell r="C1474">
            <v>40589</v>
          </cell>
          <cell r="D1474" t="str">
            <v>WP LIVE</v>
          </cell>
          <cell r="E1474">
            <v>41233</v>
          </cell>
          <cell r="F1474" t="str">
            <v>TIER 3</v>
          </cell>
          <cell r="G1474" t="str">
            <v>UNSKILLED</v>
          </cell>
          <cell r="H1474">
            <v>450</v>
          </cell>
          <cell r="I1474">
            <v>40725</v>
          </cell>
        </row>
        <row r="1475">
          <cell r="A1475" t="str">
            <v>LOGERAJ A/L RAMADAS</v>
          </cell>
          <cell r="B1475" t="str">
            <v>4 02250569</v>
          </cell>
          <cell r="C1475">
            <v>40725</v>
          </cell>
          <cell r="D1475" t="str">
            <v>WP APPROVED</v>
          </cell>
          <cell r="F1475" t="str">
            <v>TIER 3</v>
          </cell>
          <cell r="G1475" t="str">
            <v>UNSKILLED</v>
          </cell>
          <cell r="H1475">
            <v>450</v>
          </cell>
          <cell r="I1475">
            <v>40725</v>
          </cell>
        </row>
        <row r="1476">
          <cell r="A1476" t="str">
            <v>LOGESWARI A/P RAMASAMY</v>
          </cell>
          <cell r="B1476" t="str">
            <v>5 29116071</v>
          </cell>
          <cell r="C1476">
            <v>40599</v>
          </cell>
          <cell r="D1476" t="str">
            <v>WP LIVE</v>
          </cell>
          <cell r="E1476">
            <v>40853</v>
          </cell>
          <cell r="F1476" t="str">
            <v>TIER 3</v>
          </cell>
          <cell r="G1476" t="str">
            <v>UNSKILLED</v>
          </cell>
          <cell r="H1476">
            <v>450</v>
          </cell>
          <cell r="I1476">
            <v>40599</v>
          </cell>
        </row>
        <row r="1477">
          <cell r="A1477" t="str">
            <v>LOI SENG HUA</v>
          </cell>
          <cell r="B1477" t="str">
            <v>3 56354346</v>
          </cell>
          <cell r="C1477">
            <v>40512</v>
          </cell>
          <cell r="D1477" t="str">
            <v>WP LIVE</v>
          </cell>
          <cell r="E1477">
            <v>41171</v>
          </cell>
          <cell r="F1477" t="str">
            <v>TIER 3</v>
          </cell>
          <cell r="G1477" t="str">
            <v>UNSKILLED</v>
          </cell>
          <cell r="H1477">
            <v>450</v>
          </cell>
          <cell r="I1477">
            <v>40725</v>
          </cell>
        </row>
        <row r="1478">
          <cell r="A1478" t="str">
            <v>LU DI</v>
          </cell>
          <cell r="B1478" t="str">
            <v>0 57841400</v>
          </cell>
          <cell r="C1478">
            <v>40567</v>
          </cell>
          <cell r="D1478" t="str">
            <v>WP LIVE</v>
          </cell>
          <cell r="E1478">
            <v>41298</v>
          </cell>
          <cell r="F1478" t="str">
            <v>TIER 3</v>
          </cell>
          <cell r="G1478" t="str">
            <v>UNSKILLED</v>
          </cell>
          <cell r="H1478">
            <v>450</v>
          </cell>
          <cell r="I1478">
            <v>40725</v>
          </cell>
        </row>
        <row r="1479">
          <cell r="A1479" t="str">
            <v>LU JIN YAN</v>
          </cell>
          <cell r="B1479" t="str">
            <v>0 74232639</v>
          </cell>
          <cell r="C1479">
            <v>40567</v>
          </cell>
          <cell r="D1479" t="str">
            <v>WP LIVE</v>
          </cell>
          <cell r="E1479">
            <v>41299</v>
          </cell>
          <cell r="F1479" t="str">
            <v>TIER 3</v>
          </cell>
          <cell r="G1479" t="str">
            <v>UNSKILLED</v>
          </cell>
          <cell r="H1479">
            <v>450</v>
          </cell>
          <cell r="I1479">
            <v>40725</v>
          </cell>
        </row>
        <row r="1480">
          <cell r="A1480" t="str">
            <v>LU MEIQIN</v>
          </cell>
          <cell r="B1480" t="str">
            <v>0 74388876</v>
          </cell>
          <cell r="C1480">
            <v>40640</v>
          </cell>
          <cell r="D1480" t="str">
            <v>WP LIVE</v>
          </cell>
          <cell r="E1480">
            <v>41381</v>
          </cell>
          <cell r="F1480" t="str">
            <v>TIER 3</v>
          </cell>
          <cell r="G1480" t="str">
            <v>UNSKILLED</v>
          </cell>
          <cell r="H1480">
            <v>450</v>
          </cell>
          <cell r="I1480">
            <v>40725</v>
          </cell>
        </row>
        <row r="1481">
          <cell r="A1481" t="str">
            <v>LU YANPING</v>
          </cell>
          <cell r="B1481" t="str">
            <v>0 7441432-</v>
          </cell>
          <cell r="C1481">
            <v>40654</v>
          </cell>
          <cell r="D1481" t="str">
            <v>WP LIVE</v>
          </cell>
          <cell r="E1481">
            <v>41392</v>
          </cell>
          <cell r="F1481" t="str">
            <v>TIER 3</v>
          </cell>
          <cell r="G1481" t="str">
            <v>UNSKILLED</v>
          </cell>
          <cell r="H1481">
            <v>450</v>
          </cell>
          <cell r="I1481">
            <v>40725</v>
          </cell>
        </row>
        <row r="1482">
          <cell r="A1482" t="str">
            <v>M S TAMILARASI A/P SANASI</v>
          </cell>
          <cell r="B1482" t="str">
            <v>4 0380343-</v>
          </cell>
          <cell r="C1482">
            <v>40694</v>
          </cell>
          <cell r="D1482" t="str">
            <v>WP LIVE</v>
          </cell>
          <cell r="E1482">
            <v>41446</v>
          </cell>
          <cell r="F1482" t="str">
            <v>TIER 3</v>
          </cell>
          <cell r="G1482" t="str">
            <v>UNSKILLED</v>
          </cell>
          <cell r="H1482">
            <v>450</v>
          </cell>
          <cell r="I1482">
            <v>40725</v>
          </cell>
        </row>
        <row r="1483">
          <cell r="A1483" t="str">
            <v>MA JIANGYAN</v>
          </cell>
          <cell r="B1483" t="str">
            <v>0 74422349</v>
          </cell>
          <cell r="C1483">
            <v>40661</v>
          </cell>
          <cell r="D1483" t="str">
            <v>WP LIVE</v>
          </cell>
          <cell r="E1483">
            <v>41405</v>
          </cell>
          <cell r="F1483" t="str">
            <v>TIER 3</v>
          </cell>
          <cell r="G1483" t="str">
            <v>UNSKILLED</v>
          </cell>
          <cell r="H1483">
            <v>450</v>
          </cell>
          <cell r="I1483">
            <v>40661</v>
          </cell>
        </row>
        <row r="1484">
          <cell r="A1484" t="str">
            <v>MA ZHIGANG</v>
          </cell>
          <cell r="B1484" t="str">
            <v>0 74505678</v>
          </cell>
          <cell r="C1484">
            <v>40709</v>
          </cell>
          <cell r="D1484" t="str">
            <v>WP APPROVED</v>
          </cell>
          <cell r="F1484" t="str">
            <v>TIER 3</v>
          </cell>
          <cell r="G1484" t="str">
            <v>UNSKILLED</v>
          </cell>
          <cell r="H1484">
            <v>450</v>
          </cell>
          <cell r="I1484">
            <v>40725</v>
          </cell>
        </row>
        <row r="1485">
          <cell r="A1485" t="str">
            <v>MACHAP AYAH A/L RAJU</v>
          </cell>
          <cell r="B1485" t="str">
            <v>4 03041742</v>
          </cell>
          <cell r="C1485">
            <v>40658</v>
          </cell>
          <cell r="D1485" t="str">
            <v>WP LIVE</v>
          </cell>
          <cell r="E1485">
            <v>41340</v>
          </cell>
          <cell r="F1485" t="str">
            <v>TIER 3</v>
          </cell>
          <cell r="G1485" t="str">
            <v>UNSKILLED</v>
          </cell>
          <cell r="H1485">
            <v>450</v>
          </cell>
          <cell r="I1485">
            <v>40725</v>
          </cell>
        </row>
        <row r="1486">
          <cell r="A1486" t="str">
            <v>MAGENDRAN A/L RAJA</v>
          </cell>
          <cell r="B1486" t="str">
            <v>4 03830577</v>
          </cell>
          <cell r="C1486">
            <v>40716</v>
          </cell>
          <cell r="D1486" t="str">
            <v>WP APPROVED</v>
          </cell>
          <cell r="F1486" t="str">
            <v>TIER 3</v>
          </cell>
          <cell r="G1486" t="str">
            <v>UNSKILLED</v>
          </cell>
          <cell r="H1486">
            <v>450</v>
          </cell>
          <cell r="I1486">
            <v>40725</v>
          </cell>
        </row>
        <row r="1487">
          <cell r="A1487" t="str">
            <v>MAGESWARI A/P RENGANATHAM</v>
          </cell>
          <cell r="B1487" t="str">
            <v>5 36131167</v>
          </cell>
          <cell r="C1487">
            <v>40625</v>
          </cell>
          <cell r="D1487" t="str">
            <v>WP LIVE</v>
          </cell>
          <cell r="E1487">
            <v>41005</v>
          </cell>
          <cell r="F1487" t="str">
            <v>TIER 3</v>
          </cell>
          <cell r="G1487" t="str">
            <v>UNSKILLED</v>
          </cell>
          <cell r="H1487">
            <v>450</v>
          </cell>
          <cell r="I1487">
            <v>40725</v>
          </cell>
        </row>
        <row r="1488">
          <cell r="A1488" t="str">
            <v>MAHALETCHUMY A/P MURTY</v>
          </cell>
          <cell r="B1488" t="str">
            <v>4 01712992</v>
          </cell>
          <cell r="C1488">
            <v>40675</v>
          </cell>
          <cell r="D1488" t="str">
            <v>WP LIVE</v>
          </cell>
          <cell r="E1488">
            <v>41346</v>
          </cell>
          <cell r="F1488" t="str">
            <v>TIER 3</v>
          </cell>
          <cell r="G1488" t="str">
            <v>UNSKILLED</v>
          </cell>
          <cell r="H1488">
            <v>450</v>
          </cell>
          <cell r="I1488">
            <v>40725</v>
          </cell>
        </row>
        <row r="1489">
          <cell r="A1489" t="str">
            <v>MAHENDRAN A/L A RAMASH</v>
          </cell>
          <cell r="B1489" t="str">
            <v>4 03642878</v>
          </cell>
          <cell r="C1489">
            <v>40561</v>
          </cell>
          <cell r="D1489" t="str">
            <v>WP LIVE</v>
          </cell>
          <cell r="E1489">
            <v>41311</v>
          </cell>
          <cell r="F1489" t="str">
            <v>TIER 3</v>
          </cell>
          <cell r="G1489" t="str">
            <v>UNSKILLED</v>
          </cell>
          <cell r="H1489">
            <v>450</v>
          </cell>
          <cell r="I1489">
            <v>40725</v>
          </cell>
        </row>
        <row r="1490">
          <cell r="A1490" t="str">
            <v>MAIMON BEE BINTI ABDUL RAHMAN</v>
          </cell>
          <cell r="B1490" t="str">
            <v>4 01665838</v>
          </cell>
          <cell r="C1490">
            <v>40702</v>
          </cell>
          <cell r="D1490" t="str">
            <v>WP LIVE</v>
          </cell>
          <cell r="E1490">
            <v>41446</v>
          </cell>
          <cell r="F1490" t="str">
            <v>TIER 3</v>
          </cell>
          <cell r="G1490" t="str">
            <v>UNSKILLED</v>
          </cell>
          <cell r="H1490">
            <v>450</v>
          </cell>
          <cell r="I1490">
            <v>40725</v>
          </cell>
        </row>
        <row r="1491">
          <cell r="A1491" t="str">
            <v>MAINI BINTI SAUNI</v>
          </cell>
          <cell r="B1491" t="str">
            <v>6 08953744</v>
          </cell>
          <cell r="C1491">
            <v>40675</v>
          </cell>
          <cell r="D1491" t="str">
            <v>WP LIVE</v>
          </cell>
          <cell r="E1491">
            <v>41418</v>
          </cell>
          <cell r="F1491" t="str">
            <v>TIER 3</v>
          </cell>
          <cell r="G1491" t="str">
            <v>UNSKILLED</v>
          </cell>
          <cell r="H1491">
            <v>450</v>
          </cell>
          <cell r="I1491">
            <v>40725</v>
          </cell>
        </row>
        <row r="1492">
          <cell r="A1492" t="str">
            <v>MAJMUNAH BINTI MAT</v>
          </cell>
          <cell r="B1492" t="str">
            <v>3 51627719</v>
          </cell>
          <cell r="C1492">
            <v>40710</v>
          </cell>
          <cell r="D1492" t="str">
            <v>WP APPROVED</v>
          </cell>
          <cell r="F1492" t="str">
            <v>TIER 3</v>
          </cell>
          <cell r="G1492" t="str">
            <v>UNSKILLED</v>
          </cell>
          <cell r="H1492">
            <v>450</v>
          </cell>
          <cell r="I1492">
            <v>40725</v>
          </cell>
        </row>
        <row r="1493">
          <cell r="A1493" t="str">
            <v>MALARVILI A/P B NATHANTHARAN</v>
          </cell>
          <cell r="B1493" t="str">
            <v>4 02449284</v>
          </cell>
          <cell r="C1493">
            <v>40728</v>
          </cell>
          <cell r="D1493" t="str">
            <v>WP APPROVED</v>
          </cell>
          <cell r="F1493" t="str">
            <v>TIER 3</v>
          </cell>
          <cell r="G1493" t="str">
            <v>UNSKILLED</v>
          </cell>
          <cell r="H1493">
            <v>450</v>
          </cell>
          <cell r="I1493">
            <v>40728</v>
          </cell>
        </row>
        <row r="1494">
          <cell r="A1494" t="str">
            <v>MALARVILZI A/P THANGAVELU</v>
          </cell>
          <cell r="B1494" t="str">
            <v>5 07154352</v>
          </cell>
          <cell r="C1494">
            <v>40556</v>
          </cell>
          <cell r="D1494" t="str">
            <v>WP LIVE</v>
          </cell>
          <cell r="E1494">
            <v>40950</v>
          </cell>
          <cell r="F1494" t="str">
            <v>TIER 3</v>
          </cell>
          <cell r="G1494" t="str">
            <v>UNSKILLED</v>
          </cell>
          <cell r="H1494">
            <v>450</v>
          </cell>
          <cell r="I1494">
            <v>40725</v>
          </cell>
        </row>
        <row r="1495">
          <cell r="A1495" t="str">
            <v>MALATHI A/P MOKON</v>
          </cell>
          <cell r="B1495" t="str">
            <v>4 03685216</v>
          </cell>
          <cell r="C1495">
            <v>40723</v>
          </cell>
          <cell r="D1495" t="str">
            <v>WP APPROVED</v>
          </cell>
          <cell r="F1495" t="str">
            <v>TIER 3</v>
          </cell>
          <cell r="G1495" t="str">
            <v>UNSKILLED</v>
          </cell>
          <cell r="H1495">
            <v>450</v>
          </cell>
          <cell r="I1495">
            <v>40725</v>
          </cell>
        </row>
        <row r="1496">
          <cell r="A1496" t="str">
            <v>MALIGADAVI A/P KAILASAM</v>
          </cell>
          <cell r="B1496" t="str">
            <v>3 70928576</v>
          </cell>
          <cell r="C1496">
            <v>40682</v>
          </cell>
          <cell r="D1496" t="str">
            <v>WP LIVE</v>
          </cell>
          <cell r="E1496">
            <v>41437</v>
          </cell>
          <cell r="F1496" t="str">
            <v>TIER 3</v>
          </cell>
          <cell r="G1496" t="str">
            <v>UNSKILLED</v>
          </cell>
          <cell r="H1496">
            <v>450</v>
          </cell>
          <cell r="I1496">
            <v>40725</v>
          </cell>
        </row>
        <row r="1497">
          <cell r="A1497" t="str">
            <v>MALINI SANGARAN</v>
          </cell>
          <cell r="B1497" t="str">
            <v>5 26646762</v>
          </cell>
          <cell r="C1497">
            <v>40625</v>
          </cell>
          <cell r="D1497" t="str">
            <v>WP LIVE</v>
          </cell>
          <cell r="E1497">
            <v>41360</v>
          </cell>
          <cell r="F1497" t="str">
            <v>TIER 3</v>
          </cell>
          <cell r="G1497" t="str">
            <v>UNSKILLED</v>
          </cell>
          <cell r="H1497">
            <v>450</v>
          </cell>
          <cell r="I1497">
            <v>40725</v>
          </cell>
        </row>
        <row r="1498">
          <cell r="A1498" t="str">
            <v>MALIYAH A/P C GOPAL</v>
          </cell>
          <cell r="B1498" t="str">
            <v>3 56937910</v>
          </cell>
          <cell r="C1498">
            <v>40521</v>
          </cell>
          <cell r="D1498" t="str">
            <v>WP LIVE</v>
          </cell>
          <cell r="E1498">
            <v>40795</v>
          </cell>
          <cell r="F1498" t="str">
            <v>TIER 3</v>
          </cell>
          <cell r="G1498" t="str">
            <v>UNSKILLED</v>
          </cell>
          <cell r="H1498">
            <v>450</v>
          </cell>
          <cell r="I1498">
            <v>40725</v>
          </cell>
        </row>
        <row r="1499">
          <cell r="A1499" t="str">
            <v>MALLIGA A/P AMARTHALINGAM</v>
          </cell>
          <cell r="B1499" t="str">
            <v>5 1814829-</v>
          </cell>
          <cell r="C1499">
            <v>40556</v>
          </cell>
          <cell r="D1499" t="str">
            <v>WP LIVE</v>
          </cell>
          <cell r="E1499">
            <v>41255</v>
          </cell>
          <cell r="F1499" t="str">
            <v>TIER 3</v>
          </cell>
          <cell r="G1499" t="str">
            <v>UNSKILLED</v>
          </cell>
          <cell r="H1499">
            <v>450</v>
          </cell>
          <cell r="I1499">
            <v>40725</v>
          </cell>
        </row>
        <row r="1500">
          <cell r="A1500" t="str">
            <v>MANGGAI ISVARY A/P VELAYATHAN</v>
          </cell>
          <cell r="B1500" t="str">
            <v>5 36142959</v>
          </cell>
          <cell r="C1500">
            <v>40703</v>
          </cell>
          <cell r="D1500" t="str">
            <v>WP LIVE</v>
          </cell>
          <cell r="E1500">
            <v>41447</v>
          </cell>
          <cell r="F1500" t="str">
            <v>TIER 3</v>
          </cell>
          <cell r="G1500" t="str">
            <v>UNSKILLED</v>
          </cell>
          <cell r="H1500">
            <v>450</v>
          </cell>
          <cell r="I1500">
            <v>40725</v>
          </cell>
        </row>
        <row r="1501">
          <cell r="A1501" t="str">
            <v>MANIKAM AMAH A/P RAJU</v>
          </cell>
          <cell r="B1501" t="str">
            <v>3 71417230</v>
          </cell>
          <cell r="C1501">
            <v>40574</v>
          </cell>
          <cell r="D1501" t="str">
            <v>WP LIVE</v>
          </cell>
          <cell r="E1501">
            <v>41301</v>
          </cell>
          <cell r="F1501" t="str">
            <v>TIER 3</v>
          </cell>
          <cell r="G1501" t="str">
            <v>UNSKILLED</v>
          </cell>
          <cell r="H1501">
            <v>450</v>
          </cell>
          <cell r="I1501">
            <v>40725</v>
          </cell>
        </row>
        <row r="1502">
          <cell r="A1502" t="str">
            <v>MANIMARAN A/L RENGANATHAN</v>
          </cell>
          <cell r="B1502" t="str">
            <v>5 29173997</v>
          </cell>
          <cell r="C1502">
            <v>40714</v>
          </cell>
          <cell r="D1502" t="str">
            <v>WP APPROVED</v>
          </cell>
          <cell r="F1502" t="str">
            <v>TIER 3</v>
          </cell>
          <cell r="G1502" t="str">
            <v>UNSKILLED</v>
          </cell>
          <cell r="H1502">
            <v>450</v>
          </cell>
          <cell r="I1502">
            <v>40725</v>
          </cell>
        </row>
        <row r="1503">
          <cell r="A1503" t="str">
            <v>MANIMARAN A/L SUBRAMANEYAM</v>
          </cell>
          <cell r="B1503" t="str">
            <v>4 03778540</v>
          </cell>
          <cell r="C1503">
            <v>40674</v>
          </cell>
          <cell r="D1503" t="str">
            <v>WP LIVE</v>
          </cell>
          <cell r="E1503">
            <v>41339</v>
          </cell>
          <cell r="F1503" t="str">
            <v>TIER 3</v>
          </cell>
          <cell r="G1503" t="str">
            <v>UNSKILLED</v>
          </cell>
          <cell r="H1503">
            <v>450</v>
          </cell>
          <cell r="I1503">
            <v>40725</v>
          </cell>
        </row>
        <row r="1504">
          <cell r="A1504" t="str">
            <v>MANJU A/P KRISHNA</v>
          </cell>
          <cell r="B1504" t="str">
            <v>5 38446963</v>
          </cell>
          <cell r="C1504">
            <v>40561</v>
          </cell>
          <cell r="D1504" t="str">
            <v>WP LIVE</v>
          </cell>
          <cell r="E1504">
            <v>41311</v>
          </cell>
          <cell r="F1504" t="str">
            <v>TIER 3</v>
          </cell>
          <cell r="G1504" t="str">
            <v>UNSKILLED</v>
          </cell>
          <cell r="H1504">
            <v>450</v>
          </cell>
          <cell r="I1504">
            <v>40725</v>
          </cell>
        </row>
        <row r="1505">
          <cell r="A1505" t="str">
            <v>MAREYAMMAHDAVEE A/P APPALASAMY</v>
          </cell>
          <cell r="B1505" t="str">
            <v>5 23804219</v>
          </cell>
          <cell r="C1505">
            <v>40686</v>
          </cell>
          <cell r="D1505" t="str">
            <v>WP LIVE</v>
          </cell>
          <cell r="E1505">
            <v>41348</v>
          </cell>
          <cell r="F1505" t="str">
            <v>TIER 3</v>
          </cell>
          <cell r="G1505" t="str">
            <v>UNSKILLED</v>
          </cell>
          <cell r="H1505">
            <v>450</v>
          </cell>
          <cell r="I1505">
            <v>40725</v>
          </cell>
        </row>
        <row r="1506">
          <cell r="A1506" t="str">
            <v>MARIAMA A/P KALIPERUMAL</v>
          </cell>
          <cell r="B1506" t="str">
            <v>5 29150946</v>
          </cell>
          <cell r="C1506">
            <v>40592</v>
          </cell>
          <cell r="D1506" t="str">
            <v>WP LIVE</v>
          </cell>
          <cell r="E1506">
            <v>41339</v>
          </cell>
          <cell r="F1506" t="str">
            <v>TIER 3</v>
          </cell>
          <cell r="G1506" t="str">
            <v>UNSKILLED</v>
          </cell>
          <cell r="H1506">
            <v>450</v>
          </cell>
          <cell r="I1506">
            <v>40725</v>
          </cell>
        </row>
        <row r="1507">
          <cell r="A1507" t="str">
            <v>MARIAMA A/P MUTHUSAMY</v>
          </cell>
          <cell r="B1507" t="str">
            <v>4 03713600</v>
          </cell>
          <cell r="C1507">
            <v>40626</v>
          </cell>
          <cell r="D1507" t="str">
            <v>WP LIVE</v>
          </cell>
          <cell r="E1507">
            <v>41312</v>
          </cell>
          <cell r="F1507" t="str">
            <v>TIER 3</v>
          </cell>
          <cell r="G1507" t="str">
            <v>UNSKILLED</v>
          </cell>
          <cell r="H1507">
            <v>450</v>
          </cell>
          <cell r="I1507">
            <v>40725</v>
          </cell>
        </row>
        <row r="1508">
          <cell r="A1508" t="str">
            <v>MARIAMAH A/P A DORAISAMY</v>
          </cell>
          <cell r="B1508" t="str">
            <v>5 23850776</v>
          </cell>
          <cell r="C1508">
            <v>40674</v>
          </cell>
          <cell r="D1508" t="str">
            <v>WP LIVE</v>
          </cell>
          <cell r="E1508">
            <v>41418</v>
          </cell>
          <cell r="F1508" t="str">
            <v>TIER 3</v>
          </cell>
          <cell r="G1508" t="str">
            <v>UNSKILLED</v>
          </cell>
          <cell r="H1508">
            <v>450</v>
          </cell>
          <cell r="I1508">
            <v>40725</v>
          </cell>
        </row>
        <row r="1509">
          <cell r="A1509" t="str">
            <v>MARIAMAH A/P MUNIYANDY</v>
          </cell>
          <cell r="B1509" t="str">
            <v>5 27926009</v>
          </cell>
          <cell r="C1509">
            <v>40683</v>
          </cell>
          <cell r="D1509" t="str">
            <v>WP LIVE</v>
          </cell>
          <cell r="E1509">
            <v>40885</v>
          </cell>
          <cell r="F1509" t="str">
            <v>TIER 3</v>
          </cell>
          <cell r="G1509" t="str">
            <v>UNSKILLED</v>
          </cell>
          <cell r="H1509">
            <v>450</v>
          </cell>
          <cell r="I1509">
            <v>40725</v>
          </cell>
        </row>
        <row r="1510">
          <cell r="A1510" t="str">
            <v>MARIAMAH A/P SUBRAMANIAM</v>
          </cell>
          <cell r="B1510" t="str">
            <v>5 0703778-</v>
          </cell>
          <cell r="C1510">
            <v>40582</v>
          </cell>
          <cell r="D1510" t="str">
            <v>WP LIVE</v>
          </cell>
          <cell r="E1510">
            <v>41276</v>
          </cell>
          <cell r="F1510" t="str">
            <v>TIER 3</v>
          </cell>
          <cell r="G1510" t="str">
            <v>UNSKILLED</v>
          </cell>
          <cell r="H1510">
            <v>450</v>
          </cell>
          <cell r="I1510">
            <v>40725</v>
          </cell>
        </row>
        <row r="1511">
          <cell r="A1511" t="str">
            <v>MARIAMMA A/P KRISHNAN</v>
          </cell>
          <cell r="B1511" t="str">
            <v>4 03305766</v>
          </cell>
          <cell r="C1511">
            <v>40603</v>
          </cell>
          <cell r="D1511" t="str">
            <v>WP LIVE</v>
          </cell>
          <cell r="E1511">
            <v>40895</v>
          </cell>
          <cell r="F1511" t="str">
            <v>TIER 3</v>
          </cell>
          <cell r="G1511" t="str">
            <v>UNSKILLED</v>
          </cell>
          <cell r="H1511">
            <v>450</v>
          </cell>
          <cell r="I1511">
            <v>40725</v>
          </cell>
        </row>
        <row r="1512">
          <cell r="A1512" t="str">
            <v>MARIANA BINTI JAHIDIN</v>
          </cell>
          <cell r="B1512" t="str">
            <v>6 05282202</v>
          </cell>
          <cell r="C1512">
            <v>40676</v>
          </cell>
          <cell r="D1512" t="str">
            <v>WP LIVE</v>
          </cell>
          <cell r="E1512">
            <v>41186</v>
          </cell>
          <cell r="F1512" t="str">
            <v>TIER 3</v>
          </cell>
          <cell r="G1512" t="str">
            <v>UNSKILLED</v>
          </cell>
          <cell r="H1512">
            <v>450</v>
          </cell>
          <cell r="I1512">
            <v>40725</v>
          </cell>
        </row>
        <row r="1513">
          <cell r="A1513" t="str">
            <v>MARIYAMMA A/P PANDARA KANNERA</v>
          </cell>
          <cell r="B1513" t="str">
            <v>5 25601404</v>
          </cell>
          <cell r="C1513">
            <v>40637</v>
          </cell>
          <cell r="D1513" t="str">
            <v>WP LIVE</v>
          </cell>
          <cell r="E1513">
            <v>40982</v>
          </cell>
          <cell r="F1513" t="str">
            <v>TIER 3</v>
          </cell>
          <cell r="G1513" t="str">
            <v>UNSKILLED</v>
          </cell>
          <cell r="H1513">
            <v>450</v>
          </cell>
          <cell r="I1513">
            <v>40725</v>
          </cell>
        </row>
        <row r="1514">
          <cell r="A1514" t="str">
            <v>MARY MACLIEN A/P PHILIP</v>
          </cell>
          <cell r="B1514" t="str">
            <v>4 0123490-</v>
          </cell>
          <cell r="C1514">
            <v>40644</v>
          </cell>
          <cell r="D1514" t="str">
            <v>WP LIVE</v>
          </cell>
          <cell r="E1514">
            <v>41307</v>
          </cell>
          <cell r="F1514" t="str">
            <v>TIER 3</v>
          </cell>
          <cell r="G1514" t="str">
            <v>UNSKILLED</v>
          </cell>
          <cell r="H1514">
            <v>450</v>
          </cell>
          <cell r="I1514">
            <v>40725</v>
          </cell>
        </row>
        <row r="1515">
          <cell r="A1515" t="str">
            <v>MATERANG BIN JUNAIDI</v>
          </cell>
          <cell r="B1515" t="str">
            <v>8 92339422</v>
          </cell>
          <cell r="C1515">
            <v>40723</v>
          </cell>
          <cell r="D1515" t="str">
            <v>WP APPROVED</v>
          </cell>
          <cell r="F1515" t="str">
            <v>TIER 3</v>
          </cell>
          <cell r="G1515" t="str">
            <v>UNSKILLED</v>
          </cell>
          <cell r="H1515">
            <v>450</v>
          </cell>
          <cell r="I1515">
            <v>40725</v>
          </cell>
        </row>
        <row r="1516">
          <cell r="A1516" t="str">
            <v>MEENACHI KRISHNASAMY</v>
          </cell>
          <cell r="B1516" t="str">
            <v>4 0365986-</v>
          </cell>
          <cell r="C1516">
            <v>40589</v>
          </cell>
          <cell r="D1516" t="str">
            <v>WP LIVE</v>
          </cell>
          <cell r="E1516">
            <v>41282</v>
          </cell>
          <cell r="F1516" t="str">
            <v>TIER 3</v>
          </cell>
          <cell r="G1516" t="str">
            <v>UNSKILLED</v>
          </cell>
          <cell r="H1516">
            <v>450</v>
          </cell>
          <cell r="I1516">
            <v>40725</v>
          </cell>
        </row>
        <row r="1517">
          <cell r="A1517" t="str">
            <v>MENEGA RAMACHANDRAN</v>
          </cell>
          <cell r="B1517" t="str">
            <v>4 03659916</v>
          </cell>
          <cell r="C1517">
            <v>40589</v>
          </cell>
          <cell r="D1517" t="str">
            <v>WP LIVE</v>
          </cell>
          <cell r="E1517">
            <v>41282</v>
          </cell>
          <cell r="F1517" t="str">
            <v>TIER 3</v>
          </cell>
          <cell r="G1517" t="str">
            <v>UNSKILLED</v>
          </cell>
          <cell r="H1517">
            <v>450</v>
          </cell>
          <cell r="I1517">
            <v>40725</v>
          </cell>
        </row>
        <row r="1518">
          <cell r="A1518" t="str">
            <v>MIAO JINLIN</v>
          </cell>
          <cell r="B1518" t="str">
            <v>0 72426088</v>
          </cell>
          <cell r="C1518">
            <v>40709</v>
          </cell>
          <cell r="D1518" t="str">
            <v>WP LIVE</v>
          </cell>
          <cell r="E1518">
            <v>41444</v>
          </cell>
          <cell r="F1518" t="str">
            <v>TIER 3</v>
          </cell>
          <cell r="G1518" t="str">
            <v>UNSKILLED</v>
          </cell>
          <cell r="H1518">
            <v>450</v>
          </cell>
          <cell r="I1518">
            <v>40725</v>
          </cell>
        </row>
        <row r="1519">
          <cell r="A1519" t="str">
            <v>MIC LOUGHS ASSUNTA INBAROSE A/P ESTHAKY</v>
          </cell>
          <cell r="B1519" t="str">
            <v>4 03713384</v>
          </cell>
          <cell r="C1519">
            <v>40634</v>
          </cell>
          <cell r="D1519" t="str">
            <v>WP LIVE</v>
          </cell>
          <cell r="E1519">
            <v>41381</v>
          </cell>
          <cell r="F1519" t="str">
            <v>TIER 3</v>
          </cell>
          <cell r="G1519" t="str">
            <v>UNSKILLED</v>
          </cell>
          <cell r="H1519">
            <v>450</v>
          </cell>
          <cell r="I1519">
            <v>40725</v>
          </cell>
        </row>
        <row r="1520">
          <cell r="A1520" t="str">
            <v>MIZAN BIN MOHAMAD</v>
          </cell>
          <cell r="B1520" t="str">
            <v>5 35325545</v>
          </cell>
          <cell r="C1520">
            <v>40512</v>
          </cell>
          <cell r="D1520" t="str">
            <v>WP LIVE</v>
          </cell>
          <cell r="E1520">
            <v>41177</v>
          </cell>
          <cell r="F1520" t="str">
            <v>TIER 3</v>
          </cell>
          <cell r="G1520" t="str">
            <v>UNSKILLED</v>
          </cell>
          <cell r="H1520">
            <v>450</v>
          </cell>
          <cell r="I1520">
            <v>40725</v>
          </cell>
        </row>
        <row r="1521">
          <cell r="A1521" t="str">
            <v>MOGANA A/P RAMAH</v>
          </cell>
          <cell r="B1521" t="str">
            <v>4 03057096</v>
          </cell>
          <cell r="C1521">
            <v>40661</v>
          </cell>
          <cell r="D1521" t="str">
            <v>WP LIVE</v>
          </cell>
          <cell r="E1521">
            <v>41392</v>
          </cell>
          <cell r="F1521" t="str">
            <v>TIER 3</v>
          </cell>
          <cell r="G1521" t="str">
            <v>UNSKILLED</v>
          </cell>
          <cell r="H1521">
            <v>450</v>
          </cell>
          <cell r="I1521">
            <v>40661</v>
          </cell>
        </row>
        <row r="1522">
          <cell r="A1522" t="str">
            <v>MOGANA A/P S RAJAN</v>
          </cell>
          <cell r="B1522" t="str">
            <v>4 0377619-</v>
          </cell>
          <cell r="C1522">
            <v>40673</v>
          </cell>
          <cell r="D1522" t="str">
            <v>WP LIVE</v>
          </cell>
          <cell r="E1522">
            <v>41368</v>
          </cell>
          <cell r="F1522" t="str">
            <v>TIER 3</v>
          </cell>
          <cell r="G1522" t="str">
            <v>UNSKILLED</v>
          </cell>
          <cell r="H1522">
            <v>450</v>
          </cell>
          <cell r="I1522">
            <v>40725</v>
          </cell>
        </row>
        <row r="1523">
          <cell r="A1523" t="str">
            <v>MOGANAH A/P VRAPUTIRAN</v>
          </cell>
          <cell r="B1523" t="str">
            <v>4 03838373</v>
          </cell>
          <cell r="C1523">
            <v>40723</v>
          </cell>
          <cell r="D1523" t="str">
            <v>WP APPROVED</v>
          </cell>
          <cell r="F1523" t="str">
            <v>TIER 3</v>
          </cell>
          <cell r="G1523" t="str">
            <v>UNSKILLED</v>
          </cell>
          <cell r="H1523">
            <v>450</v>
          </cell>
          <cell r="I1523">
            <v>40725</v>
          </cell>
        </row>
        <row r="1524">
          <cell r="A1524" t="str">
            <v>MOHAMAD BIN BEDOLLAH</v>
          </cell>
          <cell r="B1524" t="str">
            <v>5 38097195</v>
          </cell>
          <cell r="C1524">
            <v>40714</v>
          </cell>
          <cell r="D1524" t="str">
            <v>WP APPROVED</v>
          </cell>
          <cell r="F1524" t="str">
            <v>TIER 3</v>
          </cell>
          <cell r="G1524" t="str">
            <v>UNSKILLED</v>
          </cell>
          <cell r="H1524">
            <v>450</v>
          </cell>
          <cell r="I1524">
            <v>40725</v>
          </cell>
        </row>
        <row r="1525">
          <cell r="A1525" t="str">
            <v>MOHAMAD HASHIM BIN SAIMAN</v>
          </cell>
          <cell r="B1525" t="str">
            <v>4 03818232</v>
          </cell>
          <cell r="C1525">
            <v>40707</v>
          </cell>
          <cell r="D1525" t="str">
            <v>WP APPROVED</v>
          </cell>
          <cell r="F1525" t="str">
            <v>TIER 3</v>
          </cell>
          <cell r="G1525" t="str">
            <v>UNSKILLED</v>
          </cell>
          <cell r="H1525">
            <v>450</v>
          </cell>
          <cell r="I1525">
            <v>40725</v>
          </cell>
        </row>
        <row r="1526">
          <cell r="A1526" t="str">
            <v>MOHAMAD RAFIZAN BIN AB RAHIM</v>
          </cell>
          <cell r="B1526" t="str">
            <v>4 03046329</v>
          </cell>
          <cell r="C1526">
            <v>40707</v>
          </cell>
          <cell r="D1526" t="str">
            <v>WP LIVE</v>
          </cell>
          <cell r="E1526">
            <v>41449</v>
          </cell>
          <cell r="F1526" t="str">
            <v>TIER 3</v>
          </cell>
          <cell r="G1526" t="str">
            <v>UNSKILLED</v>
          </cell>
          <cell r="H1526">
            <v>450</v>
          </cell>
          <cell r="I1526">
            <v>40725</v>
          </cell>
        </row>
        <row r="1527">
          <cell r="A1527" t="str">
            <v>MOHAMAD RASUL BIN ABDULLAH</v>
          </cell>
          <cell r="B1527" t="str">
            <v>4 03562599</v>
          </cell>
          <cell r="C1527">
            <v>40696</v>
          </cell>
          <cell r="D1527" t="str">
            <v>WP LIVE</v>
          </cell>
          <cell r="E1527">
            <v>41153</v>
          </cell>
          <cell r="F1527" t="str">
            <v>TIER 3</v>
          </cell>
          <cell r="G1527" t="str">
            <v>UNSKILLED</v>
          </cell>
          <cell r="H1527">
            <v>450</v>
          </cell>
          <cell r="I1527">
            <v>40725</v>
          </cell>
        </row>
        <row r="1528">
          <cell r="A1528" t="str">
            <v>MOHAMED FIRDAUS BIN MOIDEEN</v>
          </cell>
          <cell r="B1528" t="str">
            <v>4 03802603</v>
          </cell>
          <cell r="C1528">
            <v>40693</v>
          </cell>
          <cell r="D1528" t="str">
            <v>WP LIVE</v>
          </cell>
          <cell r="E1528">
            <v>41369</v>
          </cell>
          <cell r="F1528" t="str">
            <v>TIER 3</v>
          </cell>
          <cell r="G1528" t="str">
            <v>UNSKILLED</v>
          </cell>
          <cell r="H1528">
            <v>450</v>
          </cell>
          <cell r="I1528">
            <v>40725</v>
          </cell>
        </row>
        <row r="1529">
          <cell r="A1529" t="str">
            <v>MOHAMED ISMAIL BIN IBRAHIM</v>
          </cell>
          <cell r="B1529" t="str">
            <v>4 03821799</v>
          </cell>
          <cell r="C1529">
            <v>40709</v>
          </cell>
          <cell r="D1529" t="str">
            <v>WP APPROVED</v>
          </cell>
          <cell r="F1529" t="str">
            <v>TIER 3</v>
          </cell>
          <cell r="G1529" t="str">
            <v>UNSKILLED</v>
          </cell>
          <cell r="H1529">
            <v>450</v>
          </cell>
          <cell r="I1529">
            <v>40725</v>
          </cell>
        </row>
        <row r="1530">
          <cell r="A1530" t="str">
            <v>MOHD AMIN BIN HANAPI @HANAFI</v>
          </cell>
          <cell r="B1530" t="str">
            <v>4 03810185</v>
          </cell>
          <cell r="C1530">
            <v>40700</v>
          </cell>
          <cell r="D1530" t="str">
            <v>WP LIVE</v>
          </cell>
          <cell r="E1530">
            <v>41397</v>
          </cell>
          <cell r="F1530" t="str">
            <v>TIER 3</v>
          </cell>
          <cell r="G1530" t="str">
            <v>UNSKILLED</v>
          </cell>
          <cell r="H1530">
            <v>450</v>
          </cell>
          <cell r="I1530">
            <v>40725</v>
          </cell>
        </row>
        <row r="1531">
          <cell r="A1531" t="str">
            <v>MOHD ASNOR BIN HASSAN</v>
          </cell>
          <cell r="B1531" t="str">
            <v>5 37377275</v>
          </cell>
          <cell r="C1531">
            <v>40689</v>
          </cell>
          <cell r="D1531" t="str">
            <v>WP LIVE</v>
          </cell>
          <cell r="E1531">
            <v>41236</v>
          </cell>
          <cell r="F1531" t="str">
            <v>TIER 3</v>
          </cell>
          <cell r="G1531" t="str">
            <v>UNSKILLED</v>
          </cell>
          <cell r="H1531">
            <v>450</v>
          </cell>
          <cell r="I1531">
            <v>40725</v>
          </cell>
        </row>
        <row r="1532">
          <cell r="A1532" t="str">
            <v>MOHD AZUWAN BIN MOHD ZALI</v>
          </cell>
          <cell r="B1532" t="str">
            <v>4 03353574</v>
          </cell>
          <cell r="C1532">
            <v>40556</v>
          </cell>
          <cell r="D1532" t="str">
            <v>WP LIVE</v>
          </cell>
          <cell r="E1532">
            <v>41204</v>
          </cell>
          <cell r="F1532" t="str">
            <v>TIER 3</v>
          </cell>
          <cell r="G1532" t="str">
            <v>UNSKILLED</v>
          </cell>
          <cell r="H1532">
            <v>450</v>
          </cell>
          <cell r="I1532">
            <v>40725</v>
          </cell>
        </row>
        <row r="1533">
          <cell r="A1533" t="str">
            <v>MOHD FAIZAL BIN ALI</v>
          </cell>
          <cell r="B1533" t="str">
            <v>4 0363932-</v>
          </cell>
          <cell r="C1533">
            <v>40627</v>
          </cell>
          <cell r="D1533" t="str">
            <v>WP LIVE</v>
          </cell>
          <cell r="E1533">
            <v>41253</v>
          </cell>
          <cell r="F1533" t="str">
            <v>TIER 3</v>
          </cell>
          <cell r="G1533" t="str">
            <v>UNSKILLED</v>
          </cell>
          <cell r="H1533">
            <v>450</v>
          </cell>
          <cell r="I1533">
            <v>40725</v>
          </cell>
        </row>
        <row r="1534">
          <cell r="A1534" t="str">
            <v>MOHD FAIZAL BIN MOH AREF</v>
          </cell>
          <cell r="B1534" t="str">
            <v>4 03524794</v>
          </cell>
          <cell r="C1534">
            <v>40673</v>
          </cell>
          <cell r="D1534" t="str">
            <v>WP LIVE</v>
          </cell>
          <cell r="E1534">
            <v>41076</v>
          </cell>
          <cell r="F1534" t="str">
            <v>TIER 3</v>
          </cell>
          <cell r="G1534" t="str">
            <v>UNSKILLED</v>
          </cell>
          <cell r="H1534">
            <v>450</v>
          </cell>
          <cell r="I1534">
            <v>40725</v>
          </cell>
        </row>
        <row r="1535">
          <cell r="A1535" t="str">
            <v>MOHD FARED BIN ALI</v>
          </cell>
          <cell r="B1535" t="str">
            <v>4 03811858</v>
          </cell>
          <cell r="C1535">
            <v>40701</v>
          </cell>
          <cell r="D1535" t="str">
            <v>WP LIVE</v>
          </cell>
          <cell r="E1535">
            <v>41397</v>
          </cell>
          <cell r="F1535" t="str">
            <v>TIER 3</v>
          </cell>
          <cell r="G1535" t="str">
            <v>UNSKILLED</v>
          </cell>
          <cell r="H1535">
            <v>450</v>
          </cell>
          <cell r="I1535">
            <v>40725</v>
          </cell>
        </row>
        <row r="1536">
          <cell r="A1536" t="str">
            <v>MOHD HAFIZ BIN IDRIS</v>
          </cell>
          <cell r="B1536" t="str">
            <v>5 27901596</v>
          </cell>
          <cell r="C1536">
            <v>40588</v>
          </cell>
          <cell r="D1536" t="str">
            <v>WP LIVE</v>
          </cell>
          <cell r="E1536">
            <v>41158</v>
          </cell>
          <cell r="F1536" t="str">
            <v>TIER 3</v>
          </cell>
          <cell r="G1536" t="str">
            <v>UNSKILLED</v>
          </cell>
          <cell r="H1536">
            <v>450</v>
          </cell>
          <cell r="I1536">
            <v>40725</v>
          </cell>
        </row>
        <row r="1537">
          <cell r="A1537" t="str">
            <v>MOHD HARFIZIE BIN HASHIM</v>
          </cell>
          <cell r="B1537" t="str">
            <v>4 03775940</v>
          </cell>
          <cell r="C1537">
            <v>40673</v>
          </cell>
          <cell r="D1537" t="str">
            <v>WP LIVE</v>
          </cell>
          <cell r="E1537">
            <v>41368</v>
          </cell>
          <cell r="F1537" t="str">
            <v>TIER 3</v>
          </cell>
          <cell r="G1537" t="str">
            <v>UNSKILLED</v>
          </cell>
          <cell r="H1537">
            <v>450</v>
          </cell>
          <cell r="I1537">
            <v>40725</v>
          </cell>
        </row>
        <row r="1538">
          <cell r="A1538" t="str">
            <v>MOHD ISMA ALIFFUDDIN BIN ISMAIL</v>
          </cell>
          <cell r="B1538" t="str">
            <v>4 03639176</v>
          </cell>
          <cell r="C1538">
            <v>40560</v>
          </cell>
          <cell r="D1538" t="str">
            <v>WP LIVE</v>
          </cell>
          <cell r="E1538">
            <v>41249</v>
          </cell>
          <cell r="F1538" t="str">
            <v>TIER 3</v>
          </cell>
          <cell r="G1538" t="str">
            <v>UNSKILLED</v>
          </cell>
          <cell r="H1538">
            <v>450</v>
          </cell>
          <cell r="I1538">
            <v>40725</v>
          </cell>
        </row>
        <row r="1539">
          <cell r="A1539" t="str">
            <v>MOHD ISZUWAN BIN ISMAIL</v>
          </cell>
          <cell r="B1539" t="str">
            <v>4 03833266</v>
          </cell>
          <cell r="C1539">
            <v>40718</v>
          </cell>
          <cell r="D1539" t="str">
            <v>WP APPROVED</v>
          </cell>
          <cell r="F1539" t="str">
            <v>TIER 3</v>
          </cell>
          <cell r="G1539" t="str">
            <v>UNSKILLED</v>
          </cell>
          <cell r="H1539">
            <v>450</v>
          </cell>
          <cell r="I1539">
            <v>40725</v>
          </cell>
        </row>
        <row r="1540">
          <cell r="A1540" t="str">
            <v>MOHD NIZAM BIN NGADIMIN</v>
          </cell>
          <cell r="B1540" t="str">
            <v>4 03583928</v>
          </cell>
          <cell r="C1540">
            <v>40694</v>
          </cell>
          <cell r="D1540" t="str">
            <v>WP LIVE</v>
          </cell>
          <cell r="E1540">
            <v>41183</v>
          </cell>
          <cell r="F1540" t="str">
            <v>TIER 3</v>
          </cell>
          <cell r="G1540" t="str">
            <v>UNSKILLED</v>
          </cell>
          <cell r="H1540">
            <v>450</v>
          </cell>
          <cell r="I1540">
            <v>40725</v>
          </cell>
        </row>
        <row r="1541">
          <cell r="A1541" t="str">
            <v>MOHD RADZUAN BIN RAMLI</v>
          </cell>
          <cell r="B1541" t="str">
            <v>4 03630969</v>
          </cell>
          <cell r="C1541">
            <v>40611</v>
          </cell>
          <cell r="D1541" t="str">
            <v>WP LIVE</v>
          </cell>
          <cell r="E1541">
            <v>41127</v>
          </cell>
          <cell r="F1541" t="str">
            <v>TIER 3</v>
          </cell>
          <cell r="G1541" t="str">
            <v>UNSKILLED</v>
          </cell>
          <cell r="H1541">
            <v>450</v>
          </cell>
          <cell r="I1541">
            <v>40725</v>
          </cell>
        </row>
        <row r="1542">
          <cell r="A1542" t="str">
            <v>MOHD RIZAL BIN IDERIS</v>
          </cell>
          <cell r="B1542" t="str">
            <v>4 03698075</v>
          </cell>
          <cell r="C1542">
            <v>40700</v>
          </cell>
          <cell r="D1542" t="str">
            <v>WP LIVE</v>
          </cell>
          <cell r="E1542">
            <v>41315</v>
          </cell>
          <cell r="F1542" t="str">
            <v>TIER 3</v>
          </cell>
          <cell r="G1542" t="str">
            <v>UNSKILLED</v>
          </cell>
          <cell r="H1542">
            <v>450</v>
          </cell>
          <cell r="I1542">
            <v>40725</v>
          </cell>
        </row>
        <row r="1543">
          <cell r="A1543" t="str">
            <v>MOHD RIZUAN BIN AB RAHIM</v>
          </cell>
          <cell r="B1543" t="str">
            <v>4 03632341</v>
          </cell>
          <cell r="C1543">
            <v>40709</v>
          </cell>
          <cell r="D1543" t="str">
            <v>WP APPROVED</v>
          </cell>
          <cell r="F1543" t="str">
            <v>TIER 3</v>
          </cell>
          <cell r="G1543" t="str">
            <v>UNSKILLED</v>
          </cell>
          <cell r="H1543">
            <v>450</v>
          </cell>
          <cell r="I1543">
            <v>40725</v>
          </cell>
        </row>
        <row r="1544">
          <cell r="A1544" t="str">
            <v>MOHD SHAHFISZAM BIN OTHMAN</v>
          </cell>
          <cell r="B1544" t="str">
            <v>4 03665959</v>
          </cell>
          <cell r="C1544">
            <v>40595</v>
          </cell>
          <cell r="D1544" t="str">
            <v>WP LIVE</v>
          </cell>
          <cell r="E1544">
            <v>41123</v>
          </cell>
          <cell r="F1544" t="str">
            <v>TIER 3</v>
          </cell>
          <cell r="G1544" t="str">
            <v>UNSKILLED</v>
          </cell>
          <cell r="H1544">
            <v>450</v>
          </cell>
          <cell r="I1544">
            <v>40725</v>
          </cell>
        </row>
        <row r="1545">
          <cell r="A1545" t="str">
            <v>MOHD YAAKUB BIN RAHMAD</v>
          </cell>
          <cell r="B1545" t="str">
            <v>4 03076627</v>
          </cell>
          <cell r="C1545">
            <v>40701</v>
          </cell>
          <cell r="D1545" t="str">
            <v>WP LIVE</v>
          </cell>
          <cell r="E1545">
            <v>41452</v>
          </cell>
          <cell r="F1545" t="str">
            <v>TIER 3</v>
          </cell>
          <cell r="G1545" t="str">
            <v>UNSKILLED</v>
          </cell>
          <cell r="H1545">
            <v>450</v>
          </cell>
          <cell r="I1545">
            <v>40725</v>
          </cell>
        </row>
        <row r="1546">
          <cell r="A1546" t="str">
            <v>MOKHTAR BIN IBRAHIM</v>
          </cell>
          <cell r="B1546" t="str">
            <v>3 5388624-</v>
          </cell>
          <cell r="C1546">
            <v>40518</v>
          </cell>
          <cell r="D1546" t="str">
            <v>WP LIVE</v>
          </cell>
          <cell r="E1546">
            <v>41212</v>
          </cell>
          <cell r="F1546" t="str">
            <v>TIER 3</v>
          </cell>
          <cell r="G1546" t="str">
            <v>UNSKILLED</v>
          </cell>
          <cell r="H1546">
            <v>450</v>
          </cell>
          <cell r="I1546">
            <v>40725</v>
          </cell>
        </row>
        <row r="1547">
          <cell r="A1547" t="str">
            <v>MUGUNTHAN A/L KARUPPAN</v>
          </cell>
          <cell r="B1547" t="str">
            <v>4 00206864</v>
          </cell>
          <cell r="C1547">
            <v>40654</v>
          </cell>
          <cell r="D1547" t="str">
            <v>WP LIVE</v>
          </cell>
          <cell r="E1547">
            <v>41397</v>
          </cell>
          <cell r="F1547" t="str">
            <v>TIER 3</v>
          </cell>
          <cell r="G1547" t="str">
            <v>UNSKILLED</v>
          </cell>
          <cell r="H1547">
            <v>450</v>
          </cell>
          <cell r="I1547">
            <v>40725</v>
          </cell>
        </row>
        <row r="1548">
          <cell r="A1548" t="str">
            <v>MUHAMAD FAIZUAN BIN ESA</v>
          </cell>
          <cell r="B1548" t="str">
            <v>4 03639346</v>
          </cell>
          <cell r="C1548">
            <v>40659</v>
          </cell>
          <cell r="D1548" t="str">
            <v>WP LIVE</v>
          </cell>
          <cell r="E1548">
            <v>41253</v>
          </cell>
          <cell r="F1548" t="str">
            <v>TIER 3</v>
          </cell>
          <cell r="G1548" t="str">
            <v>UNSKILLED</v>
          </cell>
          <cell r="H1548">
            <v>450</v>
          </cell>
          <cell r="I1548">
            <v>40725</v>
          </cell>
        </row>
        <row r="1549">
          <cell r="A1549" t="str">
            <v>MUHAMAD RAZALI BIN ABDUL RAHIM</v>
          </cell>
          <cell r="B1549" t="str">
            <v>4 03579157</v>
          </cell>
          <cell r="C1549">
            <v>40583</v>
          </cell>
          <cell r="D1549" t="str">
            <v>WP LIVE</v>
          </cell>
          <cell r="E1549">
            <v>41205</v>
          </cell>
          <cell r="F1549" t="str">
            <v>TIER 3</v>
          </cell>
          <cell r="G1549" t="str">
            <v>UNSKILLED</v>
          </cell>
          <cell r="H1549">
            <v>450</v>
          </cell>
          <cell r="I1549">
            <v>40725</v>
          </cell>
        </row>
        <row r="1550">
          <cell r="A1550" t="str">
            <v>MUHAMMAD SHARUL BIN ABDULLAH</v>
          </cell>
          <cell r="B1550" t="str">
            <v>4 00393613</v>
          </cell>
          <cell r="C1550">
            <v>40709</v>
          </cell>
          <cell r="D1550" t="str">
            <v>WP LIVE</v>
          </cell>
          <cell r="E1550">
            <v>40897</v>
          </cell>
          <cell r="F1550" t="str">
            <v>TIER 3</v>
          </cell>
          <cell r="G1550" t="str">
            <v>UNSKILLED</v>
          </cell>
          <cell r="H1550">
            <v>450</v>
          </cell>
          <cell r="I1550">
            <v>40725</v>
          </cell>
        </row>
        <row r="1551">
          <cell r="A1551" t="str">
            <v>MUNESWARAN A/L KONASEGARAN</v>
          </cell>
          <cell r="B1551" t="str">
            <v>4 03837490</v>
          </cell>
          <cell r="C1551">
            <v>40723</v>
          </cell>
          <cell r="D1551" t="str">
            <v>WP APPROVED</v>
          </cell>
          <cell r="F1551" t="str">
            <v>TIER 3</v>
          </cell>
          <cell r="G1551" t="str">
            <v>UNSKILLED</v>
          </cell>
          <cell r="H1551">
            <v>450</v>
          </cell>
          <cell r="I1551">
            <v>40725</v>
          </cell>
        </row>
        <row r="1552">
          <cell r="A1552" t="str">
            <v>MUNIAMMAH A/P THARUMIAH</v>
          </cell>
          <cell r="B1552" t="str">
            <v>3 58606865</v>
          </cell>
          <cell r="C1552">
            <v>40568</v>
          </cell>
          <cell r="D1552" t="str">
            <v>WP LIVE</v>
          </cell>
          <cell r="E1552">
            <v>41264</v>
          </cell>
          <cell r="F1552" t="str">
            <v>TIER 3</v>
          </cell>
          <cell r="G1552" t="str">
            <v>UNSKILLED</v>
          </cell>
          <cell r="H1552">
            <v>450</v>
          </cell>
          <cell r="I1552">
            <v>40725</v>
          </cell>
        </row>
        <row r="1553">
          <cell r="A1553" t="str">
            <v>MUNIANDY A/L A SUPERMANIAM</v>
          </cell>
          <cell r="B1553" t="str">
            <v>5 07498213</v>
          </cell>
          <cell r="C1553">
            <v>40704</v>
          </cell>
          <cell r="D1553" t="str">
            <v>WP APPROVED</v>
          </cell>
          <cell r="F1553" t="str">
            <v>TIER 3</v>
          </cell>
          <cell r="G1553" t="str">
            <v>UNSKILLED</v>
          </cell>
          <cell r="H1553">
            <v>450</v>
          </cell>
          <cell r="I1553">
            <v>40725</v>
          </cell>
        </row>
        <row r="1554">
          <cell r="A1554" t="str">
            <v>MUNIANDYSAMY SISHUMAR</v>
          </cell>
          <cell r="B1554" t="str">
            <v>4 03781479</v>
          </cell>
          <cell r="C1554">
            <v>40689</v>
          </cell>
          <cell r="D1554" t="str">
            <v>WP LIVE</v>
          </cell>
          <cell r="E1554">
            <v>40953</v>
          </cell>
          <cell r="F1554" t="str">
            <v>TIER 3</v>
          </cell>
          <cell r="G1554" t="str">
            <v>UNSKILLED</v>
          </cell>
          <cell r="H1554">
            <v>450</v>
          </cell>
          <cell r="I1554">
            <v>40725</v>
          </cell>
        </row>
        <row r="1555">
          <cell r="A1555" t="str">
            <v>MUNISPURAN A/L KALIAPPAN</v>
          </cell>
          <cell r="B1555" t="str">
            <v>5 32627125</v>
          </cell>
          <cell r="C1555">
            <v>40637</v>
          </cell>
          <cell r="D1555" t="str">
            <v>WP LIVE</v>
          </cell>
          <cell r="E1555">
            <v>40969</v>
          </cell>
          <cell r="F1555" t="str">
            <v>TIER 3</v>
          </cell>
          <cell r="G1555" t="str">
            <v>UNSKILLED</v>
          </cell>
          <cell r="H1555">
            <v>450</v>
          </cell>
          <cell r="I1555">
            <v>40725</v>
          </cell>
        </row>
        <row r="1556">
          <cell r="A1556" t="str">
            <v>MUNISRAN A/L VEARAPATHRAN</v>
          </cell>
          <cell r="B1556" t="str">
            <v>5 18211900</v>
          </cell>
          <cell r="C1556">
            <v>40618</v>
          </cell>
          <cell r="D1556" t="str">
            <v>WP LIVE</v>
          </cell>
          <cell r="E1556">
            <v>41271</v>
          </cell>
          <cell r="F1556" t="str">
            <v>TIER 3</v>
          </cell>
          <cell r="G1556" t="str">
            <v>UNSKILLED</v>
          </cell>
          <cell r="H1556">
            <v>450</v>
          </cell>
          <cell r="I1556">
            <v>40725</v>
          </cell>
        </row>
        <row r="1557">
          <cell r="A1557" t="str">
            <v>MUNUSAMY A/L RAMARMURTH</v>
          </cell>
          <cell r="B1557" t="str">
            <v>4 01621156</v>
          </cell>
          <cell r="C1557">
            <v>40508</v>
          </cell>
          <cell r="D1557" t="str">
            <v>WP LIVE</v>
          </cell>
          <cell r="E1557">
            <v>41255</v>
          </cell>
          <cell r="F1557" t="str">
            <v>TIER 3</v>
          </cell>
          <cell r="G1557" t="str">
            <v>UNSKILLED</v>
          </cell>
          <cell r="H1557">
            <v>450</v>
          </cell>
          <cell r="I1557">
            <v>40508</v>
          </cell>
        </row>
        <row r="1558">
          <cell r="A1558" t="str">
            <v>MURUGAMAH A/P RAJU</v>
          </cell>
          <cell r="B1558" t="str">
            <v>4 03781487</v>
          </cell>
          <cell r="C1558">
            <v>40689</v>
          </cell>
          <cell r="D1558" t="str">
            <v>WP LIVE</v>
          </cell>
          <cell r="E1558">
            <v>41370</v>
          </cell>
          <cell r="F1558" t="str">
            <v>TIER 3</v>
          </cell>
          <cell r="G1558" t="str">
            <v>UNSKILLED</v>
          </cell>
          <cell r="H1558">
            <v>450</v>
          </cell>
          <cell r="I1558">
            <v>40725</v>
          </cell>
        </row>
        <row r="1559">
          <cell r="A1559" t="str">
            <v>MURUGAN A/L KAYAMBOO</v>
          </cell>
          <cell r="B1559" t="str">
            <v>5 1227742-</v>
          </cell>
          <cell r="C1559">
            <v>40719</v>
          </cell>
          <cell r="D1559" t="str">
            <v>WP APPROVED</v>
          </cell>
          <cell r="F1559" t="str">
            <v>TIER 3</v>
          </cell>
          <cell r="G1559" t="str">
            <v>UNSKILLED</v>
          </cell>
          <cell r="H1559">
            <v>450</v>
          </cell>
          <cell r="I1559">
            <v>40725</v>
          </cell>
        </row>
        <row r="1560">
          <cell r="A1560" t="str">
            <v>MURUGAN A/L KRISHNAMOORTHY</v>
          </cell>
          <cell r="B1560" t="str">
            <v>4 00775230</v>
          </cell>
          <cell r="C1560">
            <v>40518</v>
          </cell>
          <cell r="D1560" t="str">
            <v>WP LIVE</v>
          </cell>
          <cell r="E1560">
            <v>41256</v>
          </cell>
          <cell r="F1560" t="str">
            <v>TIER 3</v>
          </cell>
          <cell r="G1560" t="str">
            <v>UNSKILLED</v>
          </cell>
          <cell r="H1560">
            <v>450</v>
          </cell>
          <cell r="I1560">
            <v>40725</v>
          </cell>
        </row>
        <row r="1561">
          <cell r="A1561" t="str">
            <v>MURUGESAN A/L SELVADURAI</v>
          </cell>
          <cell r="B1561" t="str">
            <v>5 37033258</v>
          </cell>
          <cell r="C1561">
            <v>40688</v>
          </cell>
          <cell r="D1561" t="str">
            <v>WP LIVE</v>
          </cell>
          <cell r="E1561">
            <v>41292</v>
          </cell>
          <cell r="F1561" t="str">
            <v>TIER 3</v>
          </cell>
          <cell r="G1561" t="str">
            <v>UNSKILLED</v>
          </cell>
          <cell r="H1561">
            <v>450</v>
          </cell>
          <cell r="I1561">
            <v>40725</v>
          </cell>
        </row>
        <row r="1562">
          <cell r="A1562" t="str">
            <v>MUSIR BIN ARIS</v>
          </cell>
          <cell r="B1562" t="str">
            <v>6 06340346</v>
          </cell>
          <cell r="C1562">
            <v>40667</v>
          </cell>
          <cell r="D1562" t="str">
            <v>WP LIVE</v>
          </cell>
          <cell r="E1562">
            <v>41411</v>
          </cell>
          <cell r="F1562" t="str">
            <v>TIER 3</v>
          </cell>
          <cell r="G1562" t="str">
            <v>UNSKILLED</v>
          </cell>
          <cell r="H1562">
            <v>450</v>
          </cell>
          <cell r="I1562">
            <v>40725</v>
          </cell>
        </row>
        <row r="1563">
          <cell r="A1563" t="str">
            <v>NABISAH BINTI MOIDEEN</v>
          </cell>
          <cell r="B1563" t="str">
            <v>4 02314982</v>
          </cell>
          <cell r="C1563">
            <v>40591</v>
          </cell>
          <cell r="D1563" t="str">
            <v>WP LIVE</v>
          </cell>
          <cell r="E1563">
            <v>41288</v>
          </cell>
          <cell r="F1563" t="str">
            <v>TIER 3</v>
          </cell>
          <cell r="G1563" t="str">
            <v>UNSKILLED</v>
          </cell>
          <cell r="H1563">
            <v>450</v>
          </cell>
          <cell r="I1563">
            <v>40725</v>
          </cell>
        </row>
        <row r="1564">
          <cell r="A1564" t="str">
            <v>NAEMAH BINTI MUHAMMAD</v>
          </cell>
          <cell r="B1564" t="str">
            <v>4 0368144-</v>
          </cell>
          <cell r="C1564">
            <v>40702</v>
          </cell>
          <cell r="D1564" t="str">
            <v>WP LIVE</v>
          </cell>
          <cell r="E1564">
            <v>41288</v>
          </cell>
          <cell r="F1564" t="str">
            <v>TIER 3</v>
          </cell>
          <cell r="G1564" t="str">
            <v>UNSKILLED</v>
          </cell>
          <cell r="H1564">
            <v>450</v>
          </cell>
          <cell r="I1564">
            <v>40725</v>
          </cell>
        </row>
        <row r="1565">
          <cell r="A1565" t="str">
            <v>NAGALINGAM A/L VISWA NATHAN</v>
          </cell>
          <cell r="B1565" t="str">
            <v>4 02909897</v>
          </cell>
          <cell r="C1565">
            <v>40646</v>
          </cell>
          <cell r="D1565" t="str">
            <v>WP LIVE</v>
          </cell>
          <cell r="E1565">
            <v>41146</v>
          </cell>
          <cell r="F1565" t="str">
            <v>TIER 3</v>
          </cell>
          <cell r="G1565" t="str">
            <v>UNSKILLED</v>
          </cell>
          <cell r="H1565">
            <v>450</v>
          </cell>
          <cell r="I1565">
            <v>40725</v>
          </cell>
        </row>
        <row r="1566">
          <cell r="A1566" t="str">
            <v>NAGASELVAM A/L BALAKRISHNAN</v>
          </cell>
          <cell r="B1566" t="str">
            <v>4 03676519</v>
          </cell>
          <cell r="C1566">
            <v>40703</v>
          </cell>
          <cell r="D1566" t="str">
            <v>WP APPROVED</v>
          </cell>
          <cell r="F1566" t="str">
            <v>TIER 3</v>
          </cell>
          <cell r="G1566" t="str">
            <v>UNSKILLED</v>
          </cell>
          <cell r="H1566">
            <v>450</v>
          </cell>
          <cell r="I1566">
            <v>40725</v>
          </cell>
        </row>
        <row r="1567">
          <cell r="A1567" t="str">
            <v>NAGESH RAO A/L RAMARAO</v>
          </cell>
          <cell r="B1567" t="str">
            <v>4 03474444</v>
          </cell>
          <cell r="C1567">
            <v>40723</v>
          </cell>
          <cell r="D1567" t="str">
            <v>WP APPROVED</v>
          </cell>
          <cell r="F1567" t="str">
            <v>TIER 3</v>
          </cell>
          <cell r="G1567" t="str">
            <v>UNSKILLED</v>
          </cell>
          <cell r="H1567">
            <v>450</v>
          </cell>
          <cell r="I1567">
            <v>40725</v>
          </cell>
        </row>
        <row r="1568">
          <cell r="A1568" t="str">
            <v>NALANI A/P BALAKRISHNAN</v>
          </cell>
          <cell r="B1568" t="str">
            <v>4 03048739</v>
          </cell>
          <cell r="C1568">
            <v>40687</v>
          </cell>
          <cell r="D1568" t="str">
            <v>WP LIVE</v>
          </cell>
          <cell r="E1568">
            <v>41423</v>
          </cell>
          <cell r="F1568" t="str">
            <v>TIER 3</v>
          </cell>
          <cell r="G1568" t="str">
            <v>UNSKILLED</v>
          </cell>
          <cell r="H1568">
            <v>450</v>
          </cell>
          <cell r="I1568">
            <v>40725</v>
          </cell>
        </row>
        <row r="1569">
          <cell r="A1569" t="str">
            <v>NANDHA KUMARI A/P PALANIVELU</v>
          </cell>
          <cell r="B1569" t="str">
            <v>4 01351752</v>
          </cell>
          <cell r="C1569">
            <v>40714</v>
          </cell>
          <cell r="D1569" t="str">
            <v>WP APPROVED</v>
          </cell>
          <cell r="F1569" t="str">
            <v>TIER 3</v>
          </cell>
          <cell r="G1569" t="str">
            <v>UNSKILLED</v>
          </cell>
          <cell r="H1569">
            <v>450</v>
          </cell>
          <cell r="I1569">
            <v>40725</v>
          </cell>
        </row>
        <row r="1570">
          <cell r="A1570" t="str">
            <v>NATHA A/L DORAISAMY</v>
          </cell>
          <cell r="B1570" t="str">
            <v>3 4858247-</v>
          </cell>
          <cell r="C1570">
            <v>40659</v>
          </cell>
          <cell r="D1570" t="str">
            <v>WP LIVE</v>
          </cell>
          <cell r="E1570">
            <v>41398</v>
          </cell>
          <cell r="F1570" t="str">
            <v>TIER 3</v>
          </cell>
          <cell r="G1570" t="str">
            <v>UNSKILLED</v>
          </cell>
          <cell r="H1570">
            <v>450</v>
          </cell>
          <cell r="I1570">
            <v>40725</v>
          </cell>
        </row>
        <row r="1571">
          <cell r="A1571" t="str">
            <v>NATHAN A/L KARUPPAYA</v>
          </cell>
          <cell r="B1571" t="str">
            <v>4 03721492</v>
          </cell>
          <cell r="C1571">
            <v>40714</v>
          </cell>
          <cell r="D1571" t="str">
            <v>WP APPROVED</v>
          </cell>
          <cell r="F1571" t="str">
            <v>TIER 3</v>
          </cell>
          <cell r="G1571" t="str">
            <v>UNSKILLED</v>
          </cell>
          <cell r="H1571">
            <v>450</v>
          </cell>
          <cell r="I1571">
            <v>40725</v>
          </cell>
        </row>
        <row r="1572">
          <cell r="A1572" t="str">
            <v>NAYAGAM A/P VISUVANATHAN</v>
          </cell>
          <cell r="B1572" t="str">
            <v>4 03831778</v>
          </cell>
          <cell r="C1572">
            <v>40717</v>
          </cell>
          <cell r="D1572" t="str">
            <v>WP APPROVED</v>
          </cell>
          <cell r="F1572" t="str">
            <v>TIER 3</v>
          </cell>
          <cell r="G1572" t="str">
            <v>UNSKILLED</v>
          </cell>
          <cell r="H1572">
            <v>450</v>
          </cell>
          <cell r="I1572">
            <v>40725</v>
          </cell>
        </row>
        <row r="1573">
          <cell r="A1573" t="str">
            <v>NERMELA A/P KARIAN</v>
          </cell>
          <cell r="B1573" t="str">
            <v>4 03826863</v>
          </cell>
          <cell r="C1573">
            <v>40714</v>
          </cell>
          <cell r="D1573" t="str">
            <v>WP APPROVED</v>
          </cell>
          <cell r="F1573" t="str">
            <v>TIER 3</v>
          </cell>
          <cell r="G1573" t="str">
            <v>UNSKILLED</v>
          </cell>
          <cell r="H1573">
            <v>450</v>
          </cell>
          <cell r="I1573">
            <v>40725</v>
          </cell>
        </row>
        <row r="1574">
          <cell r="A1574" t="str">
            <v>NG KENG CHAI</v>
          </cell>
          <cell r="B1574" t="str">
            <v>8 92744300</v>
          </cell>
          <cell r="C1574">
            <v>40697</v>
          </cell>
          <cell r="D1574" t="str">
            <v>WP LIVE</v>
          </cell>
          <cell r="E1574">
            <v>41439</v>
          </cell>
          <cell r="F1574" t="str">
            <v>TIER 3</v>
          </cell>
          <cell r="G1574" t="str">
            <v>UNSKILLED</v>
          </cell>
          <cell r="H1574">
            <v>450</v>
          </cell>
          <cell r="I1574">
            <v>40725</v>
          </cell>
        </row>
        <row r="1575">
          <cell r="A1575" t="str">
            <v>NI JIAN HUA</v>
          </cell>
          <cell r="B1575" t="str">
            <v>0 74245854</v>
          </cell>
          <cell r="C1575">
            <v>40542</v>
          </cell>
          <cell r="D1575" t="str">
            <v>WP LIVE</v>
          </cell>
          <cell r="E1575">
            <v>41276</v>
          </cell>
          <cell r="F1575" t="str">
            <v>TIER 3</v>
          </cell>
          <cell r="G1575" t="str">
            <v>UNSKILLED</v>
          </cell>
          <cell r="H1575">
            <v>450</v>
          </cell>
          <cell r="I1575">
            <v>40725</v>
          </cell>
        </row>
        <row r="1576">
          <cell r="A1576" t="str">
            <v>NI YUDI</v>
          </cell>
          <cell r="B1576" t="str">
            <v>0 74289282</v>
          </cell>
          <cell r="C1576">
            <v>40582</v>
          </cell>
          <cell r="D1576" t="str">
            <v>WP LIVE</v>
          </cell>
          <cell r="E1576">
            <v>41319</v>
          </cell>
          <cell r="F1576" t="str">
            <v>TIER 3</v>
          </cell>
          <cell r="G1576" t="str">
            <v>UNSKILLED</v>
          </cell>
          <cell r="H1576">
            <v>450</v>
          </cell>
          <cell r="I1576">
            <v>40725</v>
          </cell>
        </row>
        <row r="1577">
          <cell r="A1577" t="str">
            <v>NIK AZLAN BIN NIK HUSSIN</v>
          </cell>
          <cell r="B1577" t="str">
            <v>4 0382562-</v>
          </cell>
          <cell r="C1577">
            <v>40711</v>
          </cell>
          <cell r="D1577" t="str">
            <v>WP APPROVED</v>
          </cell>
          <cell r="F1577" t="str">
            <v>TIER 3</v>
          </cell>
          <cell r="G1577" t="str">
            <v>UNSKILLED</v>
          </cell>
          <cell r="H1577">
            <v>450</v>
          </cell>
          <cell r="I1577">
            <v>40725</v>
          </cell>
        </row>
        <row r="1578">
          <cell r="A1578" t="str">
            <v>NIK ROHANA BINTI NIK MAT</v>
          </cell>
          <cell r="B1578" t="str">
            <v>5 16086440</v>
          </cell>
          <cell r="C1578">
            <v>40667</v>
          </cell>
          <cell r="D1578" t="str">
            <v>WP LIVE</v>
          </cell>
          <cell r="E1578">
            <v>41411</v>
          </cell>
          <cell r="F1578" t="str">
            <v>TIER 3</v>
          </cell>
          <cell r="G1578" t="str">
            <v>UNSKILLED</v>
          </cell>
          <cell r="H1578">
            <v>450</v>
          </cell>
          <cell r="I1578">
            <v>40725</v>
          </cell>
        </row>
        <row r="1579">
          <cell r="A1579" t="str">
            <v>NILA A/P ARUMUGAM</v>
          </cell>
          <cell r="B1579" t="str">
            <v>5 05678826</v>
          </cell>
          <cell r="C1579">
            <v>40605</v>
          </cell>
          <cell r="D1579" t="str">
            <v>WP LIVE</v>
          </cell>
          <cell r="E1579">
            <v>41343</v>
          </cell>
          <cell r="F1579" t="str">
            <v>TIER 3</v>
          </cell>
          <cell r="G1579" t="str">
            <v>UNSKILLED</v>
          </cell>
          <cell r="H1579">
            <v>450</v>
          </cell>
          <cell r="I1579">
            <v>40725</v>
          </cell>
        </row>
        <row r="1580">
          <cell r="A1580" t="str">
            <v>NOORJAHAN BINTI MOHAMED SALIM</v>
          </cell>
          <cell r="B1580" t="str">
            <v>4 03668214</v>
          </cell>
          <cell r="C1580">
            <v>40596</v>
          </cell>
          <cell r="D1580" t="str">
            <v>WP LIVE</v>
          </cell>
          <cell r="E1580">
            <v>41031</v>
          </cell>
          <cell r="F1580" t="str">
            <v>TIER 3</v>
          </cell>
          <cell r="G1580" t="str">
            <v>UNSKILLED</v>
          </cell>
          <cell r="H1580">
            <v>450</v>
          </cell>
          <cell r="I1580">
            <v>40596</v>
          </cell>
        </row>
        <row r="1581">
          <cell r="A1581" t="str">
            <v>NOR BAKRI BIN BAGINDA LUKMAN</v>
          </cell>
          <cell r="B1581" t="str">
            <v>4 03654515</v>
          </cell>
          <cell r="C1581">
            <v>40584</v>
          </cell>
          <cell r="D1581" t="str">
            <v>WP LIVE</v>
          </cell>
          <cell r="E1581">
            <v>41281</v>
          </cell>
          <cell r="F1581" t="str">
            <v>TIER 3</v>
          </cell>
          <cell r="G1581" t="str">
            <v>UNSKILLED</v>
          </cell>
          <cell r="H1581">
            <v>450</v>
          </cell>
          <cell r="I1581">
            <v>40725</v>
          </cell>
        </row>
        <row r="1582">
          <cell r="A1582" t="str">
            <v>NOR HAFIZAH BINTI MOHD NOH</v>
          </cell>
          <cell r="B1582" t="str">
            <v>4 03835714</v>
          </cell>
          <cell r="C1582">
            <v>40721</v>
          </cell>
          <cell r="D1582" t="str">
            <v>WP APPROVED</v>
          </cell>
          <cell r="F1582" t="str">
            <v>TIER 3</v>
          </cell>
          <cell r="G1582" t="str">
            <v>UNSKILLED</v>
          </cell>
          <cell r="H1582">
            <v>450</v>
          </cell>
          <cell r="I1582">
            <v>40725</v>
          </cell>
        </row>
        <row r="1583">
          <cell r="A1583" t="str">
            <v>NOR MALA BINTI AWI</v>
          </cell>
          <cell r="B1583" t="str">
            <v>4 03733709</v>
          </cell>
          <cell r="C1583">
            <v>40640</v>
          </cell>
          <cell r="D1583" t="str">
            <v>WP LIVE</v>
          </cell>
          <cell r="E1583">
            <v>41326</v>
          </cell>
          <cell r="F1583" t="str">
            <v>TIER 3</v>
          </cell>
          <cell r="G1583" t="str">
            <v>UNSKILLED</v>
          </cell>
          <cell r="H1583">
            <v>450</v>
          </cell>
          <cell r="I1583">
            <v>40725</v>
          </cell>
        </row>
        <row r="1584">
          <cell r="A1584" t="str">
            <v>NOR REHAN BINTI ISMAIL</v>
          </cell>
          <cell r="B1584" t="str">
            <v>3 64081820</v>
          </cell>
          <cell r="C1584">
            <v>40546</v>
          </cell>
          <cell r="D1584" t="str">
            <v>WP LIVE</v>
          </cell>
          <cell r="E1584">
            <v>41243</v>
          </cell>
          <cell r="F1584" t="str">
            <v>TIER 3</v>
          </cell>
          <cell r="G1584" t="str">
            <v>UNSKILLED</v>
          </cell>
          <cell r="H1584">
            <v>450</v>
          </cell>
          <cell r="I1584">
            <v>40546</v>
          </cell>
        </row>
        <row r="1585">
          <cell r="A1585" t="str">
            <v>NOR'AINI BINTI CHE HASSAN</v>
          </cell>
          <cell r="B1585" t="str">
            <v>5 02211153</v>
          </cell>
          <cell r="C1585">
            <v>40634</v>
          </cell>
          <cell r="D1585" t="str">
            <v>WP LIVE</v>
          </cell>
          <cell r="E1585">
            <v>41313</v>
          </cell>
          <cell r="F1585" t="str">
            <v>TIER 3</v>
          </cell>
          <cell r="G1585" t="str">
            <v>UNSKILLED</v>
          </cell>
          <cell r="H1585">
            <v>450</v>
          </cell>
          <cell r="I1585">
            <v>40725</v>
          </cell>
        </row>
        <row r="1586">
          <cell r="A1586" t="str">
            <v>NORASHIKIN BINTI ABDUL HAMID</v>
          </cell>
          <cell r="B1586" t="str">
            <v>4 0365602-</v>
          </cell>
          <cell r="C1586">
            <v>40585</v>
          </cell>
          <cell r="D1586" t="str">
            <v>WP LIVE</v>
          </cell>
          <cell r="E1586">
            <v>41284</v>
          </cell>
          <cell r="F1586" t="str">
            <v>TIER 3</v>
          </cell>
          <cell r="G1586" t="str">
            <v>UNSKILLED</v>
          </cell>
          <cell r="H1586">
            <v>450</v>
          </cell>
          <cell r="I1586">
            <v>40725</v>
          </cell>
        </row>
        <row r="1587">
          <cell r="A1587" t="str">
            <v>NORAZIZAH BINTI IDRIS</v>
          </cell>
          <cell r="B1587" t="str">
            <v>4 03781371</v>
          </cell>
          <cell r="C1587">
            <v>40675</v>
          </cell>
          <cell r="D1587" t="str">
            <v>WP LIVE</v>
          </cell>
          <cell r="E1587">
            <v>41329</v>
          </cell>
          <cell r="F1587" t="str">
            <v>TIER 3</v>
          </cell>
          <cell r="G1587" t="str">
            <v>UNSKILLED</v>
          </cell>
          <cell r="H1587">
            <v>450</v>
          </cell>
          <cell r="I1587">
            <v>40725</v>
          </cell>
        </row>
        <row r="1588">
          <cell r="A1588" t="str">
            <v>NORAZREEN BINTI ABDUL HAMID</v>
          </cell>
          <cell r="B1588" t="str">
            <v>4 03135119</v>
          </cell>
          <cell r="C1588">
            <v>40700</v>
          </cell>
          <cell r="D1588" t="str">
            <v>WP LIVE</v>
          </cell>
          <cell r="E1588">
            <v>41441</v>
          </cell>
          <cell r="F1588" t="str">
            <v>TIER 3</v>
          </cell>
          <cell r="G1588" t="str">
            <v>UNSKILLED</v>
          </cell>
          <cell r="H1588">
            <v>450</v>
          </cell>
          <cell r="I1588">
            <v>40725</v>
          </cell>
        </row>
        <row r="1589">
          <cell r="A1589" t="str">
            <v>NORIDAH BINTI KAMAL</v>
          </cell>
          <cell r="B1589" t="str">
            <v>4 03604127</v>
          </cell>
          <cell r="C1589">
            <v>40550</v>
          </cell>
          <cell r="D1589" t="str">
            <v>WP LIVE</v>
          </cell>
          <cell r="E1589">
            <v>41291</v>
          </cell>
          <cell r="F1589" t="str">
            <v>TIER 3</v>
          </cell>
          <cell r="G1589" t="str">
            <v>UNSKILLED</v>
          </cell>
          <cell r="H1589">
            <v>450</v>
          </cell>
          <cell r="I1589">
            <v>40725</v>
          </cell>
        </row>
        <row r="1590">
          <cell r="A1590" t="str">
            <v>NORIZAM BIN SA'ADUN</v>
          </cell>
          <cell r="B1590" t="str">
            <v>4 03620963</v>
          </cell>
          <cell r="C1590">
            <v>40721</v>
          </cell>
          <cell r="D1590" t="str">
            <v>WP APPROVED</v>
          </cell>
          <cell r="F1590" t="str">
            <v>TIER 3</v>
          </cell>
          <cell r="G1590" t="str">
            <v>UNSKILLED</v>
          </cell>
          <cell r="H1590">
            <v>450</v>
          </cell>
          <cell r="I1590">
            <v>40725</v>
          </cell>
        </row>
        <row r="1591">
          <cell r="A1591" t="str">
            <v>NORMALAH BINTI MOKHTAR</v>
          </cell>
          <cell r="B1591" t="str">
            <v>3 53347454</v>
          </cell>
          <cell r="C1591">
            <v>40708</v>
          </cell>
          <cell r="D1591" t="str">
            <v>WP LIVE</v>
          </cell>
          <cell r="E1591">
            <v>41404</v>
          </cell>
          <cell r="F1591" t="str">
            <v>TIER 3</v>
          </cell>
          <cell r="G1591" t="str">
            <v>UNSKILLED</v>
          </cell>
          <cell r="H1591">
            <v>450</v>
          </cell>
          <cell r="I1591">
            <v>40725</v>
          </cell>
        </row>
        <row r="1592">
          <cell r="A1592" t="str">
            <v>NULIANA EYLVEN ANAK PETA</v>
          </cell>
          <cell r="B1592" t="str">
            <v>4 03762318</v>
          </cell>
          <cell r="C1592">
            <v>40659</v>
          </cell>
          <cell r="D1592" t="str">
            <v>WP LIVE</v>
          </cell>
          <cell r="E1592">
            <v>41348</v>
          </cell>
          <cell r="F1592" t="str">
            <v>TIER 3</v>
          </cell>
          <cell r="G1592" t="str">
            <v>UNSKILLED</v>
          </cell>
          <cell r="H1592">
            <v>450</v>
          </cell>
          <cell r="I1592">
            <v>40725</v>
          </cell>
        </row>
        <row r="1593">
          <cell r="A1593" t="str">
            <v>NURUL AYU BINTI MOHD AMIL</v>
          </cell>
          <cell r="B1593" t="str">
            <v>4 0364269-</v>
          </cell>
          <cell r="C1593">
            <v>40561</v>
          </cell>
          <cell r="D1593" t="str">
            <v>WP LIVE</v>
          </cell>
          <cell r="E1593">
            <v>41255</v>
          </cell>
          <cell r="F1593" t="str">
            <v>TIER 3</v>
          </cell>
          <cell r="G1593" t="str">
            <v>UNSKILLED</v>
          </cell>
          <cell r="H1593">
            <v>450</v>
          </cell>
          <cell r="I1593">
            <v>40725</v>
          </cell>
        </row>
        <row r="1594">
          <cell r="A1594" t="str">
            <v>NURUL NORBIHA BINTI JUMARI</v>
          </cell>
          <cell r="B1594" t="str">
            <v>4 03722669</v>
          </cell>
          <cell r="C1594">
            <v>40633</v>
          </cell>
          <cell r="D1594" t="str">
            <v>WP LIVE</v>
          </cell>
          <cell r="E1594">
            <v>41333</v>
          </cell>
          <cell r="F1594" t="str">
            <v>TIER 3</v>
          </cell>
          <cell r="G1594" t="str">
            <v>UNSKILLED</v>
          </cell>
          <cell r="H1594">
            <v>450</v>
          </cell>
          <cell r="I1594">
            <v>40725</v>
          </cell>
        </row>
        <row r="1595">
          <cell r="A1595" t="str">
            <v>OMAH A/P V MANIKKAM</v>
          </cell>
          <cell r="B1595" t="str">
            <v>4 03643823</v>
          </cell>
          <cell r="C1595">
            <v>40567</v>
          </cell>
          <cell r="D1595" t="str">
            <v>WP LIVE</v>
          </cell>
          <cell r="E1595">
            <v>41256</v>
          </cell>
          <cell r="F1595" t="str">
            <v>TIER 3</v>
          </cell>
          <cell r="G1595" t="str">
            <v>UNSKILLED</v>
          </cell>
          <cell r="H1595">
            <v>450</v>
          </cell>
          <cell r="I1595">
            <v>40725</v>
          </cell>
        </row>
        <row r="1596">
          <cell r="A1596" t="str">
            <v>P SELLAMMAH A/P R PERIANNAN</v>
          </cell>
          <cell r="B1596" t="str">
            <v>3 57516234</v>
          </cell>
          <cell r="C1596">
            <v>40694</v>
          </cell>
          <cell r="D1596" t="str">
            <v>WP LIVE</v>
          </cell>
          <cell r="E1596">
            <v>41439</v>
          </cell>
          <cell r="F1596" t="str">
            <v>TIER 3</v>
          </cell>
          <cell r="G1596" t="str">
            <v>UNSKILLED</v>
          </cell>
          <cell r="H1596">
            <v>450</v>
          </cell>
          <cell r="I1596">
            <v>40725</v>
          </cell>
        </row>
        <row r="1597">
          <cell r="A1597" t="str">
            <v>PACKIRISAMY A/L DURAISAMY</v>
          </cell>
          <cell r="B1597" t="str">
            <v>5 19618648</v>
          </cell>
          <cell r="C1597">
            <v>40674</v>
          </cell>
          <cell r="D1597" t="str">
            <v>WP LIVE</v>
          </cell>
          <cell r="E1597">
            <v>41416</v>
          </cell>
          <cell r="F1597" t="str">
            <v>TIER 3</v>
          </cell>
          <cell r="G1597" t="str">
            <v>UNSKILLED</v>
          </cell>
          <cell r="H1597">
            <v>450</v>
          </cell>
          <cell r="I1597">
            <v>40725</v>
          </cell>
        </row>
        <row r="1598">
          <cell r="A1598" t="str">
            <v>PAIDITHALI A/P SOORIANARAYANA</v>
          </cell>
          <cell r="B1598" t="str">
            <v>4 03629685</v>
          </cell>
          <cell r="C1598">
            <v>40547</v>
          </cell>
          <cell r="D1598" t="str">
            <v>WP LIVE</v>
          </cell>
          <cell r="E1598">
            <v>41311</v>
          </cell>
          <cell r="F1598" t="str">
            <v>TIER 3</v>
          </cell>
          <cell r="G1598" t="str">
            <v>UNSKILLED</v>
          </cell>
          <cell r="H1598">
            <v>450</v>
          </cell>
          <cell r="I1598">
            <v>40725</v>
          </cell>
        </row>
        <row r="1599">
          <cell r="A1599" t="str">
            <v>PAKUN BIN LIMBING</v>
          </cell>
          <cell r="B1599" t="str">
            <v>8 06369853</v>
          </cell>
          <cell r="C1599">
            <v>40557</v>
          </cell>
          <cell r="D1599" t="str">
            <v>WP LIVE</v>
          </cell>
          <cell r="E1599">
            <v>41169</v>
          </cell>
          <cell r="F1599" t="str">
            <v>TIER 3</v>
          </cell>
          <cell r="G1599" t="str">
            <v>UNSKILLED</v>
          </cell>
          <cell r="H1599">
            <v>450</v>
          </cell>
          <cell r="I1599">
            <v>40557</v>
          </cell>
        </row>
        <row r="1600">
          <cell r="A1600" t="str">
            <v>PANG JING JYE</v>
          </cell>
          <cell r="B1600" t="str">
            <v>5 02057677</v>
          </cell>
          <cell r="C1600">
            <v>40714</v>
          </cell>
          <cell r="D1600" t="str">
            <v>WP LIVE</v>
          </cell>
          <cell r="E1600">
            <v>41458</v>
          </cell>
          <cell r="F1600" t="str">
            <v>TIER 3</v>
          </cell>
          <cell r="G1600" t="str">
            <v>UNSKILLED</v>
          </cell>
          <cell r="H1600">
            <v>450</v>
          </cell>
          <cell r="I1600">
            <v>40725</v>
          </cell>
        </row>
        <row r="1601">
          <cell r="A1601" t="str">
            <v>PANJAWARNAKILY A/P SINNASAMY</v>
          </cell>
          <cell r="B1601" t="str">
            <v>5 1809503-</v>
          </cell>
          <cell r="C1601">
            <v>40549</v>
          </cell>
          <cell r="D1601" t="str">
            <v>WP LIVE</v>
          </cell>
          <cell r="E1601">
            <v>41290</v>
          </cell>
          <cell r="F1601" t="str">
            <v>TIER 3</v>
          </cell>
          <cell r="G1601" t="str">
            <v>UNSKILLED</v>
          </cell>
          <cell r="H1601">
            <v>450</v>
          </cell>
          <cell r="I1601">
            <v>40725</v>
          </cell>
        </row>
        <row r="1602">
          <cell r="A1602" t="str">
            <v>PAPATI A/P MUNIANDY</v>
          </cell>
          <cell r="B1602" t="str">
            <v>4 00197598</v>
          </cell>
          <cell r="C1602">
            <v>40602</v>
          </cell>
          <cell r="D1602" t="str">
            <v>WP LIVE</v>
          </cell>
          <cell r="E1602">
            <v>41268</v>
          </cell>
          <cell r="F1602" t="str">
            <v>TIER 3</v>
          </cell>
          <cell r="G1602" t="str">
            <v>UNSKILLED</v>
          </cell>
          <cell r="H1602">
            <v>450</v>
          </cell>
          <cell r="I1602">
            <v>40725</v>
          </cell>
        </row>
        <row r="1603">
          <cell r="A1603" t="str">
            <v>PARAGASH A/L PARMAL PILLAI</v>
          </cell>
          <cell r="B1603" t="str">
            <v>4 00049599</v>
          </cell>
          <cell r="C1603">
            <v>40528</v>
          </cell>
          <cell r="D1603" t="str">
            <v>WP LIVE</v>
          </cell>
          <cell r="E1603">
            <v>41216</v>
          </cell>
          <cell r="F1603" t="str">
            <v>TIER 3</v>
          </cell>
          <cell r="G1603" t="str">
            <v>UNSKILLED</v>
          </cell>
          <cell r="H1603">
            <v>450</v>
          </cell>
          <cell r="I1603">
            <v>40725</v>
          </cell>
        </row>
        <row r="1604">
          <cell r="A1604" t="str">
            <v>PARAMESH A/L SUPIAH</v>
          </cell>
          <cell r="B1604" t="str">
            <v>4 03377058</v>
          </cell>
          <cell r="C1604">
            <v>40522</v>
          </cell>
          <cell r="D1604" t="str">
            <v>WP LIVE</v>
          </cell>
          <cell r="E1604">
            <v>40964</v>
          </cell>
          <cell r="F1604" t="str">
            <v>TIER 3</v>
          </cell>
          <cell r="G1604" t="str">
            <v>UNSKILLED</v>
          </cell>
          <cell r="H1604">
            <v>450</v>
          </cell>
          <cell r="I1604">
            <v>40725</v>
          </cell>
        </row>
        <row r="1605">
          <cell r="A1605" t="str">
            <v>PARAMESWARI A/P SHANMUGAM</v>
          </cell>
          <cell r="B1605" t="str">
            <v>4 03140228</v>
          </cell>
          <cell r="C1605">
            <v>40721</v>
          </cell>
          <cell r="D1605" t="str">
            <v>WP APPROVED</v>
          </cell>
          <cell r="F1605" t="str">
            <v>TIER 3</v>
          </cell>
          <cell r="G1605" t="str">
            <v>UNSKILLED</v>
          </cell>
          <cell r="H1605">
            <v>450</v>
          </cell>
          <cell r="I1605">
            <v>40725</v>
          </cell>
        </row>
        <row r="1606">
          <cell r="A1606" t="str">
            <v>PARAMESWARY A/P APPU</v>
          </cell>
          <cell r="B1606" t="str">
            <v>4 03664545</v>
          </cell>
          <cell r="C1606">
            <v>40592</v>
          </cell>
          <cell r="D1606" t="str">
            <v>WP LIVE</v>
          </cell>
          <cell r="E1606">
            <v>41285</v>
          </cell>
          <cell r="F1606" t="str">
            <v>TIER 3</v>
          </cell>
          <cell r="G1606" t="str">
            <v>UNSKILLED</v>
          </cell>
          <cell r="H1606">
            <v>450</v>
          </cell>
          <cell r="I1606">
            <v>40725</v>
          </cell>
        </row>
        <row r="1607">
          <cell r="A1607" t="str">
            <v>PARAMESWARY A/P CHANDOO</v>
          </cell>
          <cell r="B1607" t="str">
            <v>4 03822426</v>
          </cell>
          <cell r="C1607">
            <v>40709</v>
          </cell>
          <cell r="D1607" t="str">
            <v>WP APPROVED</v>
          </cell>
          <cell r="F1607" t="str">
            <v>TIER 3</v>
          </cell>
          <cell r="G1607" t="str">
            <v>UNSKILLED</v>
          </cell>
          <cell r="H1607">
            <v>450</v>
          </cell>
          <cell r="I1607">
            <v>40725</v>
          </cell>
        </row>
        <row r="1608">
          <cell r="A1608" t="str">
            <v>PAREMALA DEVI A/P GOVINDASAMY</v>
          </cell>
          <cell r="B1608" t="str">
            <v>5 20171207</v>
          </cell>
          <cell r="C1608">
            <v>40682</v>
          </cell>
          <cell r="D1608" t="str">
            <v>WP LIVE</v>
          </cell>
          <cell r="E1608">
            <v>41423</v>
          </cell>
          <cell r="F1608" t="str">
            <v>TIER 3</v>
          </cell>
          <cell r="G1608" t="str">
            <v>UNSKILLED</v>
          </cell>
          <cell r="H1608">
            <v>450</v>
          </cell>
          <cell r="I1608">
            <v>40725</v>
          </cell>
        </row>
        <row r="1609">
          <cell r="A1609" t="str">
            <v>PAREMESWARI A/P SUBRAMANIAM</v>
          </cell>
          <cell r="B1609" t="str">
            <v>4 01158367</v>
          </cell>
          <cell r="C1609">
            <v>40589</v>
          </cell>
          <cell r="D1609" t="str">
            <v>WP LIVE</v>
          </cell>
          <cell r="E1609">
            <v>41144</v>
          </cell>
          <cell r="F1609" t="str">
            <v>TIER 3</v>
          </cell>
          <cell r="G1609" t="str">
            <v>UNSKILLED</v>
          </cell>
          <cell r="H1609">
            <v>450</v>
          </cell>
          <cell r="I1609">
            <v>40725</v>
          </cell>
        </row>
        <row r="1610">
          <cell r="A1610" t="str">
            <v>PARIMALA A/P AYAH PILLAI</v>
          </cell>
          <cell r="B1610" t="str">
            <v>5 11842344</v>
          </cell>
          <cell r="C1610">
            <v>40695</v>
          </cell>
          <cell r="D1610" t="str">
            <v>WP LIVE</v>
          </cell>
          <cell r="E1610">
            <v>41449</v>
          </cell>
          <cell r="F1610" t="str">
            <v>TIER 3</v>
          </cell>
          <cell r="G1610" t="str">
            <v>UNSKILLED</v>
          </cell>
          <cell r="H1610">
            <v>450</v>
          </cell>
          <cell r="I1610">
            <v>40725</v>
          </cell>
        </row>
        <row r="1611">
          <cell r="A1611" t="str">
            <v>PARTEBAN A/L SOORIAKUMAR</v>
          </cell>
          <cell r="B1611" t="str">
            <v>4 03600644</v>
          </cell>
          <cell r="C1611">
            <v>40627</v>
          </cell>
          <cell r="D1611" t="str">
            <v>WP LIVE</v>
          </cell>
          <cell r="E1611">
            <v>41134</v>
          </cell>
          <cell r="F1611" t="str">
            <v>TIER 3</v>
          </cell>
          <cell r="G1611" t="str">
            <v>UNSKILLED</v>
          </cell>
          <cell r="H1611">
            <v>450</v>
          </cell>
          <cell r="I1611">
            <v>40725</v>
          </cell>
        </row>
        <row r="1612">
          <cell r="A1612" t="str">
            <v>PARTHEBAN A/L SUPRAMANIAM</v>
          </cell>
          <cell r="B1612" t="str">
            <v>3 74389475</v>
          </cell>
          <cell r="C1612">
            <v>40603</v>
          </cell>
          <cell r="D1612" t="str">
            <v>WP LIVE</v>
          </cell>
          <cell r="E1612">
            <v>41357</v>
          </cell>
          <cell r="F1612" t="str">
            <v>TIER 3</v>
          </cell>
          <cell r="G1612" t="str">
            <v>UNSKILLED</v>
          </cell>
          <cell r="H1612">
            <v>450</v>
          </cell>
          <cell r="I1612">
            <v>40725</v>
          </cell>
        </row>
        <row r="1613">
          <cell r="A1613" t="str">
            <v>PARUVATHY A/P CHANDU KUTTY</v>
          </cell>
          <cell r="B1613" t="str">
            <v>3 60268942</v>
          </cell>
          <cell r="C1613">
            <v>40540</v>
          </cell>
          <cell r="D1613" t="str">
            <v>WP LIVE</v>
          </cell>
          <cell r="E1613">
            <v>41142</v>
          </cell>
          <cell r="F1613" t="str">
            <v>TIER 3</v>
          </cell>
          <cell r="G1613" t="str">
            <v>UNSKILLED</v>
          </cell>
          <cell r="H1613">
            <v>450</v>
          </cell>
          <cell r="I1613">
            <v>40725</v>
          </cell>
        </row>
        <row r="1614">
          <cell r="A1614" t="str">
            <v>PARVATHI A/P KRISHNAN</v>
          </cell>
          <cell r="B1614" t="str">
            <v>5 27908361</v>
          </cell>
          <cell r="C1614">
            <v>40603</v>
          </cell>
          <cell r="D1614" t="str">
            <v>WP LIVE</v>
          </cell>
          <cell r="E1614">
            <v>41346</v>
          </cell>
          <cell r="F1614" t="str">
            <v>TIER 3</v>
          </cell>
          <cell r="G1614" t="str">
            <v>UNSKILLED</v>
          </cell>
          <cell r="H1614">
            <v>450</v>
          </cell>
          <cell r="I1614">
            <v>40725</v>
          </cell>
        </row>
        <row r="1615">
          <cell r="A1615" t="str">
            <v>PATMA A/P SUBRAMANIAM</v>
          </cell>
          <cell r="B1615" t="str">
            <v>4 00148511</v>
          </cell>
          <cell r="C1615">
            <v>40611</v>
          </cell>
          <cell r="D1615" t="str">
            <v>WP LIVE</v>
          </cell>
          <cell r="E1615">
            <v>41005</v>
          </cell>
          <cell r="F1615" t="str">
            <v>TIER 3</v>
          </cell>
          <cell r="G1615" t="str">
            <v>UNSKILLED</v>
          </cell>
          <cell r="H1615">
            <v>450</v>
          </cell>
          <cell r="I1615">
            <v>40725</v>
          </cell>
        </row>
        <row r="1616">
          <cell r="A1616" t="str">
            <v>PATTU A/P RENGASAMI</v>
          </cell>
          <cell r="B1616" t="str">
            <v>3 55279812</v>
          </cell>
          <cell r="C1616">
            <v>40721</v>
          </cell>
          <cell r="D1616" t="str">
            <v>WP APPROVED</v>
          </cell>
          <cell r="F1616" t="str">
            <v>TIER 3</v>
          </cell>
          <cell r="G1616" t="str">
            <v>UNSKILLED</v>
          </cell>
          <cell r="H1616">
            <v>450</v>
          </cell>
          <cell r="I1616">
            <v>40725</v>
          </cell>
        </row>
        <row r="1617">
          <cell r="A1617" t="str">
            <v>PECHAYEE A/P SURIARAJA</v>
          </cell>
          <cell r="B1617" t="str">
            <v>5 08209673</v>
          </cell>
          <cell r="C1617">
            <v>40707</v>
          </cell>
          <cell r="D1617" t="str">
            <v>WP APPROVED</v>
          </cell>
          <cell r="F1617" t="str">
            <v>TIER 3</v>
          </cell>
          <cell r="G1617" t="str">
            <v>UNSKILLED</v>
          </cell>
          <cell r="H1617">
            <v>450</v>
          </cell>
          <cell r="I1617">
            <v>40725</v>
          </cell>
        </row>
        <row r="1618">
          <cell r="A1618" t="str">
            <v>PERABAKARAN A/L ARUMUGAM</v>
          </cell>
          <cell r="B1618" t="str">
            <v>4 02709588</v>
          </cell>
          <cell r="C1618">
            <v>40697</v>
          </cell>
          <cell r="D1618" t="str">
            <v>WP LIVE</v>
          </cell>
          <cell r="E1618">
            <v>41439</v>
          </cell>
          <cell r="F1618" t="str">
            <v>TIER 3</v>
          </cell>
          <cell r="G1618" t="str">
            <v>UNSKILLED</v>
          </cell>
          <cell r="H1618">
            <v>450</v>
          </cell>
          <cell r="I1618">
            <v>40725</v>
          </cell>
        </row>
        <row r="1619">
          <cell r="A1619" t="str">
            <v>PERIANAYAKI A/P JAYARAMAN</v>
          </cell>
          <cell r="B1619" t="str">
            <v>5 16440422</v>
          </cell>
          <cell r="C1619">
            <v>40676</v>
          </cell>
          <cell r="D1619" t="str">
            <v>WP LIVE</v>
          </cell>
          <cell r="E1619">
            <v>41418</v>
          </cell>
          <cell r="F1619" t="str">
            <v>TIER 3</v>
          </cell>
          <cell r="G1619" t="str">
            <v>UNSKILLED</v>
          </cell>
          <cell r="H1619">
            <v>450</v>
          </cell>
          <cell r="I1619">
            <v>40725</v>
          </cell>
        </row>
        <row r="1620">
          <cell r="A1620" t="str">
            <v>PERIANAYAKI A/P MARIMUTHU</v>
          </cell>
          <cell r="B1620" t="str">
            <v>5 02653679</v>
          </cell>
          <cell r="C1620">
            <v>40724</v>
          </cell>
          <cell r="D1620" t="str">
            <v>WP APPROVED</v>
          </cell>
          <cell r="F1620" t="str">
            <v>TIER 3</v>
          </cell>
          <cell r="G1620" t="str">
            <v>UNSKILLED</v>
          </cell>
          <cell r="H1620">
            <v>450</v>
          </cell>
          <cell r="I1620">
            <v>40725</v>
          </cell>
        </row>
        <row r="1621">
          <cell r="A1621" t="str">
            <v>PERUMAL A/L KUPUSAMY</v>
          </cell>
          <cell r="B1621" t="str">
            <v>4 00072442</v>
          </cell>
          <cell r="C1621">
            <v>40707</v>
          </cell>
          <cell r="D1621" t="str">
            <v>WP APPROVED</v>
          </cell>
          <cell r="F1621" t="str">
            <v>TIER 3</v>
          </cell>
          <cell r="G1621" t="str">
            <v>UNSKILLED</v>
          </cell>
          <cell r="H1621">
            <v>450</v>
          </cell>
          <cell r="I1621">
            <v>40725</v>
          </cell>
        </row>
        <row r="1622">
          <cell r="A1622" t="str">
            <v>PHANG CHIN MOOI</v>
          </cell>
          <cell r="B1622" t="str">
            <v>3 55655814</v>
          </cell>
          <cell r="C1622">
            <v>40686</v>
          </cell>
          <cell r="D1622" t="str">
            <v>WP LIVE</v>
          </cell>
          <cell r="E1622">
            <v>41433</v>
          </cell>
          <cell r="F1622" t="str">
            <v>TIER 3</v>
          </cell>
          <cell r="G1622" t="str">
            <v>UNSKILLED</v>
          </cell>
          <cell r="H1622">
            <v>450</v>
          </cell>
          <cell r="I1622">
            <v>40725</v>
          </cell>
        </row>
        <row r="1623">
          <cell r="A1623" t="str">
            <v>PHILOMINA A/P ANTHONY</v>
          </cell>
          <cell r="B1623" t="str">
            <v>3 56280938</v>
          </cell>
          <cell r="C1623">
            <v>40611</v>
          </cell>
          <cell r="D1623" t="str">
            <v>WP LIVE</v>
          </cell>
          <cell r="E1623">
            <v>41026</v>
          </cell>
          <cell r="F1623" t="str">
            <v>TIER 3</v>
          </cell>
          <cell r="G1623" t="str">
            <v>UNSKILLED</v>
          </cell>
          <cell r="H1623">
            <v>450</v>
          </cell>
          <cell r="I1623">
            <v>40725</v>
          </cell>
        </row>
        <row r="1624">
          <cell r="A1624" t="str">
            <v>PHVETIRAN SILVAKUMARAN</v>
          </cell>
          <cell r="B1624" t="str">
            <v>4 0363946-</v>
          </cell>
          <cell r="C1624">
            <v>40556</v>
          </cell>
          <cell r="D1624" t="str">
            <v>WP LIVE</v>
          </cell>
          <cell r="E1624">
            <v>41240</v>
          </cell>
          <cell r="F1624" t="str">
            <v>TIER 3</v>
          </cell>
          <cell r="G1624" t="str">
            <v>UNSKILLED</v>
          </cell>
          <cell r="H1624">
            <v>450</v>
          </cell>
          <cell r="I1624">
            <v>40556</v>
          </cell>
        </row>
        <row r="1625">
          <cell r="A1625" t="str">
            <v>PONNARASU A/P MANUARA</v>
          </cell>
          <cell r="B1625" t="str">
            <v>4 03737720</v>
          </cell>
          <cell r="C1625">
            <v>40662</v>
          </cell>
          <cell r="D1625" t="str">
            <v>WP LIVE</v>
          </cell>
          <cell r="E1625">
            <v>41315</v>
          </cell>
          <cell r="F1625" t="str">
            <v>TIER 3</v>
          </cell>
          <cell r="G1625" t="str">
            <v>UNSKILLED</v>
          </cell>
          <cell r="H1625">
            <v>450</v>
          </cell>
          <cell r="I1625">
            <v>40725</v>
          </cell>
        </row>
        <row r="1626">
          <cell r="A1626" t="str">
            <v>POOBALAN A/L SUPRAMANIAM</v>
          </cell>
          <cell r="B1626" t="str">
            <v>4 01365931</v>
          </cell>
          <cell r="C1626">
            <v>40696</v>
          </cell>
          <cell r="D1626" t="str">
            <v>WP LIVE</v>
          </cell>
          <cell r="E1626">
            <v>41433</v>
          </cell>
          <cell r="F1626" t="str">
            <v>TIER 3</v>
          </cell>
          <cell r="G1626" t="str">
            <v>UNSKILLED</v>
          </cell>
          <cell r="H1626">
            <v>450</v>
          </cell>
          <cell r="I1626">
            <v>40725</v>
          </cell>
        </row>
        <row r="1627">
          <cell r="A1627" t="str">
            <v>PRABHAKARAN A/L S LAXIMANAN</v>
          </cell>
          <cell r="B1627" t="str">
            <v>5 32544165</v>
          </cell>
          <cell r="C1627">
            <v>40715</v>
          </cell>
          <cell r="D1627" t="str">
            <v>WP APPROVED</v>
          </cell>
          <cell r="F1627" t="str">
            <v>TIER 3</v>
          </cell>
          <cell r="G1627" t="str">
            <v>UNSKILLED</v>
          </cell>
          <cell r="H1627">
            <v>450</v>
          </cell>
          <cell r="I1627">
            <v>40725</v>
          </cell>
        </row>
        <row r="1628">
          <cell r="A1628" t="str">
            <v>PRAKASH A/L GOVINDAN</v>
          </cell>
          <cell r="B1628" t="str">
            <v>4 01203117</v>
          </cell>
          <cell r="C1628">
            <v>40662</v>
          </cell>
          <cell r="D1628" t="str">
            <v>WP LIVE</v>
          </cell>
          <cell r="E1628">
            <v>41405</v>
          </cell>
          <cell r="F1628" t="str">
            <v>TIER 3</v>
          </cell>
          <cell r="G1628" t="str">
            <v>UNSKILLED</v>
          </cell>
          <cell r="H1628">
            <v>450</v>
          </cell>
          <cell r="I1628">
            <v>40725</v>
          </cell>
        </row>
        <row r="1629">
          <cell r="A1629" t="str">
            <v>PRAVIN A/L PALANIAPPAN</v>
          </cell>
          <cell r="B1629" t="str">
            <v>4 03837512</v>
          </cell>
          <cell r="C1629">
            <v>40723</v>
          </cell>
          <cell r="D1629" t="str">
            <v>WP APPROVED</v>
          </cell>
          <cell r="F1629" t="str">
            <v>TIER 3</v>
          </cell>
          <cell r="G1629" t="str">
            <v>UNSKILLED</v>
          </cell>
          <cell r="H1629">
            <v>450</v>
          </cell>
          <cell r="I1629">
            <v>40725</v>
          </cell>
        </row>
        <row r="1630">
          <cell r="A1630" t="str">
            <v>PREMA RANI A/P G N MUNIANDY</v>
          </cell>
          <cell r="B1630" t="str">
            <v>4 02393718</v>
          </cell>
          <cell r="C1630">
            <v>40525</v>
          </cell>
          <cell r="D1630" t="str">
            <v>WP LIVE</v>
          </cell>
          <cell r="E1630">
            <v>41130</v>
          </cell>
          <cell r="F1630" t="str">
            <v>TIER 3</v>
          </cell>
          <cell r="G1630" t="str">
            <v>UNSKILLED</v>
          </cell>
          <cell r="H1630">
            <v>450</v>
          </cell>
          <cell r="I1630">
            <v>40725</v>
          </cell>
        </row>
        <row r="1631">
          <cell r="A1631" t="str">
            <v>PREMAVATHY A/P RAVINDRAN</v>
          </cell>
          <cell r="B1631" t="str">
            <v>4 03782564</v>
          </cell>
          <cell r="C1631">
            <v>40676</v>
          </cell>
          <cell r="D1631" t="str">
            <v>WP LIVE</v>
          </cell>
          <cell r="E1631">
            <v>41342</v>
          </cell>
          <cell r="F1631" t="str">
            <v>TIER 3</v>
          </cell>
          <cell r="G1631" t="str">
            <v>UNSKILLED</v>
          </cell>
          <cell r="H1631">
            <v>450</v>
          </cell>
          <cell r="I1631">
            <v>40725</v>
          </cell>
        </row>
        <row r="1632">
          <cell r="A1632" t="str">
            <v>PREMMA KRISHNAN</v>
          </cell>
          <cell r="B1632" t="str">
            <v>5 29200684</v>
          </cell>
          <cell r="C1632">
            <v>40610</v>
          </cell>
          <cell r="D1632" t="str">
            <v>WP LIVE</v>
          </cell>
          <cell r="E1632">
            <v>41262</v>
          </cell>
          <cell r="F1632" t="str">
            <v>TIER 3</v>
          </cell>
          <cell r="G1632" t="str">
            <v>UNSKILLED</v>
          </cell>
          <cell r="H1632">
            <v>450</v>
          </cell>
          <cell r="I1632">
            <v>40725</v>
          </cell>
        </row>
        <row r="1633">
          <cell r="A1633" t="str">
            <v>PUANESWARY A/P PANNIRSELVAM</v>
          </cell>
          <cell r="B1633" t="str">
            <v>4 03778621</v>
          </cell>
          <cell r="C1633">
            <v>40674</v>
          </cell>
          <cell r="D1633" t="str">
            <v>WP LIVE</v>
          </cell>
          <cell r="E1633">
            <v>41361</v>
          </cell>
          <cell r="F1633" t="str">
            <v>TIER 3</v>
          </cell>
          <cell r="G1633" t="str">
            <v>UNSKILLED</v>
          </cell>
          <cell r="H1633">
            <v>450</v>
          </cell>
          <cell r="I1633">
            <v>40725</v>
          </cell>
        </row>
        <row r="1634">
          <cell r="A1634" t="str">
            <v>PUNEETHA A/P SAMMUGAM</v>
          </cell>
          <cell r="B1634" t="str">
            <v>4 03679526</v>
          </cell>
          <cell r="C1634">
            <v>40603</v>
          </cell>
          <cell r="D1634" t="str">
            <v>WP LIVE</v>
          </cell>
          <cell r="E1634">
            <v>41284</v>
          </cell>
          <cell r="F1634" t="str">
            <v>TIER 3</v>
          </cell>
          <cell r="G1634" t="str">
            <v>UNSKILLED</v>
          </cell>
          <cell r="H1634">
            <v>450</v>
          </cell>
          <cell r="I1634">
            <v>40725</v>
          </cell>
        </row>
        <row r="1635">
          <cell r="A1635" t="str">
            <v>PUNITHA A/P MOHAN</v>
          </cell>
          <cell r="B1635" t="str">
            <v>4 03838764</v>
          </cell>
          <cell r="C1635">
            <v>40723</v>
          </cell>
          <cell r="D1635" t="str">
            <v>WP APPROVED</v>
          </cell>
          <cell r="F1635" t="str">
            <v>TIER 3</v>
          </cell>
          <cell r="G1635" t="str">
            <v>UNSKILLED</v>
          </cell>
          <cell r="H1635">
            <v>450</v>
          </cell>
          <cell r="I1635">
            <v>40725</v>
          </cell>
        </row>
        <row r="1636">
          <cell r="A1636" t="str">
            <v>PUNITHA A/P VEERAMUTHU</v>
          </cell>
          <cell r="B1636" t="str">
            <v>5 38918237</v>
          </cell>
          <cell r="C1636">
            <v>40716</v>
          </cell>
          <cell r="D1636" t="str">
            <v>WP APPROVED</v>
          </cell>
          <cell r="F1636" t="str">
            <v>TIER 3</v>
          </cell>
          <cell r="G1636" t="str">
            <v>UNSKILLED</v>
          </cell>
          <cell r="H1636">
            <v>450</v>
          </cell>
          <cell r="I1636">
            <v>40725</v>
          </cell>
        </row>
        <row r="1637">
          <cell r="A1637" t="str">
            <v>PUNITHA A/P VISUALINGAM</v>
          </cell>
          <cell r="B1637" t="str">
            <v>4 03533297</v>
          </cell>
          <cell r="C1637">
            <v>40626</v>
          </cell>
          <cell r="D1637" t="str">
            <v>WP LIVE</v>
          </cell>
          <cell r="E1637">
            <v>41117</v>
          </cell>
          <cell r="F1637" t="str">
            <v>TIER 3</v>
          </cell>
          <cell r="G1637" t="str">
            <v>UNSKILLED</v>
          </cell>
          <cell r="H1637">
            <v>450</v>
          </cell>
          <cell r="I1637">
            <v>40725</v>
          </cell>
        </row>
        <row r="1638">
          <cell r="A1638" t="str">
            <v>PURAN A/P GUNDUMONEY</v>
          </cell>
          <cell r="B1638" t="str">
            <v>4 03672807</v>
          </cell>
          <cell r="C1638">
            <v>40598</v>
          </cell>
          <cell r="D1638" t="str">
            <v>WP LIVE</v>
          </cell>
          <cell r="E1638">
            <v>41342</v>
          </cell>
          <cell r="F1638" t="str">
            <v>TIER 3</v>
          </cell>
          <cell r="G1638" t="str">
            <v>UNSKILLED</v>
          </cell>
          <cell r="H1638">
            <v>450</v>
          </cell>
          <cell r="I1638">
            <v>40725</v>
          </cell>
        </row>
        <row r="1639">
          <cell r="A1639" t="str">
            <v>PUSHPARANI A/P SHANMUGAM</v>
          </cell>
          <cell r="B1639" t="str">
            <v>5 24524708</v>
          </cell>
          <cell r="C1639">
            <v>40725</v>
          </cell>
          <cell r="D1639" t="str">
            <v>WP APPROVED</v>
          </cell>
          <cell r="F1639" t="str">
            <v>TIER 3</v>
          </cell>
          <cell r="G1639" t="str">
            <v>UNSKILLED</v>
          </cell>
          <cell r="H1639">
            <v>450</v>
          </cell>
          <cell r="I1639">
            <v>40725</v>
          </cell>
        </row>
        <row r="1640">
          <cell r="A1640" t="str">
            <v>PUVANA A/P MUTHAN @RAMASAMY</v>
          </cell>
          <cell r="B1640" t="str">
            <v>5 33005306</v>
          </cell>
          <cell r="C1640">
            <v>40569</v>
          </cell>
          <cell r="D1640" t="str">
            <v>WP LIVE</v>
          </cell>
          <cell r="E1640">
            <v>41268</v>
          </cell>
          <cell r="F1640" t="str">
            <v>TIER 3</v>
          </cell>
          <cell r="G1640" t="str">
            <v>UNSKILLED</v>
          </cell>
          <cell r="H1640">
            <v>450</v>
          </cell>
          <cell r="I1640">
            <v>40725</v>
          </cell>
        </row>
        <row r="1641">
          <cell r="A1641" t="str">
            <v>PUVIN RAJ A/L RANJIDAN</v>
          </cell>
          <cell r="B1641" t="str">
            <v>4 02402229</v>
          </cell>
          <cell r="C1641">
            <v>40689</v>
          </cell>
          <cell r="D1641" t="str">
            <v>WP LIVE</v>
          </cell>
          <cell r="E1641">
            <v>40913</v>
          </cell>
          <cell r="F1641" t="str">
            <v>TIER 3</v>
          </cell>
          <cell r="G1641" t="str">
            <v>UNSKILLED</v>
          </cell>
          <cell r="H1641">
            <v>450</v>
          </cell>
          <cell r="I1641">
            <v>40725</v>
          </cell>
        </row>
        <row r="1642">
          <cell r="A1642" t="str">
            <v>QI XIULING</v>
          </cell>
          <cell r="B1642" t="str">
            <v>0 74331645</v>
          </cell>
          <cell r="C1642">
            <v>40611</v>
          </cell>
          <cell r="D1642" t="str">
            <v>WP LIVE</v>
          </cell>
          <cell r="E1642">
            <v>41347</v>
          </cell>
          <cell r="F1642" t="str">
            <v>TIER 3</v>
          </cell>
          <cell r="G1642" t="str">
            <v>UNSKILLED</v>
          </cell>
          <cell r="H1642">
            <v>450</v>
          </cell>
          <cell r="I1642">
            <v>40725</v>
          </cell>
        </row>
        <row r="1643">
          <cell r="A1643" t="str">
            <v>QIAN WEI</v>
          </cell>
          <cell r="B1643" t="str">
            <v>0 74403514</v>
          </cell>
          <cell r="C1643">
            <v>40651</v>
          </cell>
          <cell r="D1643" t="str">
            <v>WP LIVE</v>
          </cell>
          <cell r="E1643">
            <v>41388</v>
          </cell>
          <cell r="F1643" t="str">
            <v>TIER 3</v>
          </cell>
          <cell r="G1643" t="str">
            <v>UNSKILLED</v>
          </cell>
          <cell r="H1643">
            <v>450</v>
          </cell>
          <cell r="I1643">
            <v>40725</v>
          </cell>
        </row>
        <row r="1644">
          <cell r="A1644" t="str">
            <v>QIN SAN</v>
          </cell>
          <cell r="B1644" t="str">
            <v>0 7432892-</v>
          </cell>
          <cell r="C1644">
            <v>40610</v>
          </cell>
          <cell r="D1644" t="str">
            <v>WP LIVE</v>
          </cell>
          <cell r="E1644">
            <v>41347</v>
          </cell>
          <cell r="F1644" t="str">
            <v>TIER 3</v>
          </cell>
          <cell r="G1644" t="str">
            <v>UNSKILLED</v>
          </cell>
          <cell r="H1644">
            <v>450</v>
          </cell>
          <cell r="I1644">
            <v>40725</v>
          </cell>
        </row>
        <row r="1645">
          <cell r="A1645" t="str">
            <v>R AMMANIAMMA A/P RENGESAMY</v>
          </cell>
          <cell r="B1645" t="str">
            <v>5 07149812</v>
          </cell>
          <cell r="C1645">
            <v>40651</v>
          </cell>
          <cell r="D1645" t="str">
            <v>WP LIVE</v>
          </cell>
          <cell r="E1645">
            <v>41405</v>
          </cell>
          <cell r="F1645" t="str">
            <v>TIER 3</v>
          </cell>
          <cell r="G1645" t="str">
            <v>UNSKILLED</v>
          </cell>
          <cell r="H1645">
            <v>450</v>
          </cell>
          <cell r="I1645">
            <v>40725</v>
          </cell>
        </row>
        <row r="1646">
          <cell r="A1646" t="str">
            <v>R MARIAMMAH A/P RAMAN</v>
          </cell>
          <cell r="B1646" t="str">
            <v>5 11345596</v>
          </cell>
          <cell r="C1646">
            <v>40617</v>
          </cell>
          <cell r="D1646" t="str">
            <v>WP LIVE</v>
          </cell>
          <cell r="E1646">
            <v>41296</v>
          </cell>
          <cell r="F1646" t="str">
            <v>TIER 3</v>
          </cell>
          <cell r="G1646" t="str">
            <v>UNSKILLED</v>
          </cell>
          <cell r="H1646">
            <v>450</v>
          </cell>
          <cell r="I1646">
            <v>40725</v>
          </cell>
        </row>
        <row r="1647">
          <cell r="A1647" t="str">
            <v>R SUPPAMMAH A/P RAMAN</v>
          </cell>
          <cell r="B1647" t="str">
            <v>5 26908406</v>
          </cell>
          <cell r="C1647">
            <v>40583</v>
          </cell>
          <cell r="D1647" t="str">
            <v>WP LIVE</v>
          </cell>
          <cell r="E1647">
            <v>41294</v>
          </cell>
          <cell r="F1647" t="str">
            <v>TIER 3</v>
          </cell>
          <cell r="G1647" t="str">
            <v>UNSKILLED</v>
          </cell>
          <cell r="H1647">
            <v>450</v>
          </cell>
          <cell r="I1647">
            <v>40725</v>
          </cell>
        </row>
        <row r="1648">
          <cell r="A1648" t="str">
            <v>RADAH A/P MARIAH</v>
          </cell>
          <cell r="B1648" t="str">
            <v>5 30241726</v>
          </cell>
          <cell r="C1648">
            <v>40679</v>
          </cell>
          <cell r="D1648" t="str">
            <v>WP LIVE</v>
          </cell>
          <cell r="E1648">
            <v>41010</v>
          </cell>
          <cell r="F1648" t="str">
            <v>TIER 3</v>
          </cell>
          <cell r="G1648" t="str">
            <v>UNSKILLED</v>
          </cell>
          <cell r="H1648">
            <v>450</v>
          </cell>
          <cell r="I1648">
            <v>40725</v>
          </cell>
        </row>
        <row r="1649">
          <cell r="A1649" t="str">
            <v>RADHA A/P MAGANTIHREN</v>
          </cell>
          <cell r="B1649" t="str">
            <v>4 03832170</v>
          </cell>
          <cell r="C1649">
            <v>40717</v>
          </cell>
          <cell r="D1649" t="str">
            <v>WP APPROVED</v>
          </cell>
          <cell r="F1649" t="str">
            <v>TIER 3</v>
          </cell>
          <cell r="G1649" t="str">
            <v>UNSKILLED</v>
          </cell>
          <cell r="H1649">
            <v>450</v>
          </cell>
          <cell r="I1649">
            <v>40717</v>
          </cell>
        </row>
        <row r="1650">
          <cell r="A1650" t="str">
            <v>RADHA A/P SUPRAMONEY</v>
          </cell>
          <cell r="B1650" t="str">
            <v>5 21909560</v>
          </cell>
          <cell r="C1650">
            <v>40592</v>
          </cell>
          <cell r="D1650" t="str">
            <v>WP LIVE</v>
          </cell>
          <cell r="E1650">
            <v>41334</v>
          </cell>
          <cell r="F1650" t="str">
            <v>TIER 3</v>
          </cell>
          <cell r="G1650" t="str">
            <v>UNSKILLED</v>
          </cell>
          <cell r="H1650">
            <v>450</v>
          </cell>
          <cell r="I1650">
            <v>40725</v>
          </cell>
        </row>
        <row r="1651">
          <cell r="A1651" t="str">
            <v>RADZA A/P RAMAN</v>
          </cell>
          <cell r="B1651" t="str">
            <v>5 00544953</v>
          </cell>
          <cell r="C1651">
            <v>40687</v>
          </cell>
          <cell r="D1651" t="str">
            <v>WP LIVE</v>
          </cell>
          <cell r="E1651">
            <v>41360</v>
          </cell>
          <cell r="F1651" t="str">
            <v>TIER 3</v>
          </cell>
          <cell r="G1651" t="str">
            <v>UNSKILLED</v>
          </cell>
          <cell r="H1651">
            <v>450</v>
          </cell>
          <cell r="I1651">
            <v>40725</v>
          </cell>
        </row>
        <row r="1652">
          <cell r="A1652" t="str">
            <v>RAFAIE BIN ABDUL AZIZ</v>
          </cell>
          <cell r="B1652" t="str">
            <v>4 03569380</v>
          </cell>
          <cell r="C1652">
            <v>40708</v>
          </cell>
          <cell r="D1652" t="str">
            <v>WP LIVE</v>
          </cell>
          <cell r="E1652">
            <v>41163</v>
          </cell>
          <cell r="F1652" t="str">
            <v>TIER 3</v>
          </cell>
          <cell r="G1652" t="str">
            <v>UNSKILLED</v>
          </cell>
          <cell r="H1652">
            <v>450</v>
          </cell>
          <cell r="I1652">
            <v>40725</v>
          </cell>
        </row>
        <row r="1653">
          <cell r="A1653" t="str">
            <v>RAFIDAH BINTI ESA</v>
          </cell>
          <cell r="B1653" t="str">
            <v>5 3479049-</v>
          </cell>
          <cell r="C1653">
            <v>40683</v>
          </cell>
          <cell r="D1653" t="str">
            <v>WP LIVE</v>
          </cell>
          <cell r="E1653">
            <v>41257</v>
          </cell>
          <cell r="F1653" t="str">
            <v>TIER 3</v>
          </cell>
          <cell r="G1653" t="str">
            <v>UNSKILLED</v>
          </cell>
          <cell r="H1653">
            <v>450</v>
          </cell>
          <cell r="I1653">
            <v>40725</v>
          </cell>
        </row>
        <row r="1654">
          <cell r="A1654" t="str">
            <v>RAGAVAN A/L KUMARAN</v>
          </cell>
          <cell r="B1654" t="str">
            <v>4 01957251</v>
          </cell>
          <cell r="C1654">
            <v>40560</v>
          </cell>
          <cell r="D1654" t="str">
            <v>WP LIVE</v>
          </cell>
          <cell r="E1654">
            <v>41305</v>
          </cell>
          <cell r="F1654" t="str">
            <v>TIER 3</v>
          </cell>
          <cell r="G1654" t="str">
            <v>UNSKILLED</v>
          </cell>
          <cell r="H1654">
            <v>450</v>
          </cell>
          <cell r="I1654">
            <v>40725</v>
          </cell>
        </row>
        <row r="1655">
          <cell r="A1655" t="str">
            <v>RAHIMAH BINTI MD SAID</v>
          </cell>
          <cell r="B1655" t="str">
            <v>5 37700785</v>
          </cell>
          <cell r="C1655">
            <v>40651</v>
          </cell>
          <cell r="D1655" t="str">
            <v>WP LIVE</v>
          </cell>
          <cell r="E1655">
            <v>41313</v>
          </cell>
          <cell r="F1655" t="str">
            <v>TIER 3</v>
          </cell>
          <cell r="G1655" t="str">
            <v>UNSKILLED</v>
          </cell>
          <cell r="H1655">
            <v>450</v>
          </cell>
          <cell r="I1655">
            <v>40725</v>
          </cell>
        </row>
        <row r="1656">
          <cell r="A1656" t="str">
            <v>RAJA A/L SUBRAMANIAM</v>
          </cell>
          <cell r="B1656" t="str">
            <v>4 03618365</v>
          </cell>
          <cell r="C1656">
            <v>40532</v>
          </cell>
          <cell r="D1656" t="str">
            <v>WP LIVE</v>
          </cell>
          <cell r="E1656">
            <v>41194</v>
          </cell>
          <cell r="F1656" t="str">
            <v>TIER 3</v>
          </cell>
          <cell r="G1656" t="str">
            <v>UNSKILLED</v>
          </cell>
          <cell r="H1656">
            <v>450</v>
          </cell>
          <cell r="I1656">
            <v>40725</v>
          </cell>
        </row>
        <row r="1657">
          <cell r="A1657" t="str">
            <v>RAJALETCHUMEI A/P ANNAPAK</v>
          </cell>
          <cell r="B1657" t="str">
            <v>5 01769673</v>
          </cell>
          <cell r="C1657">
            <v>40723</v>
          </cell>
          <cell r="D1657" t="str">
            <v>WP APPROVED</v>
          </cell>
          <cell r="F1657" t="str">
            <v>TIER 3</v>
          </cell>
          <cell r="G1657" t="str">
            <v>UNSKILLED</v>
          </cell>
          <cell r="H1657">
            <v>450</v>
          </cell>
          <cell r="I1657">
            <v>40725</v>
          </cell>
        </row>
        <row r="1658">
          <cell r="A1658" t="str">
            <v>RAJAM A/P MUNIAN</v>
          </cell>
          <cell r="B1658" t="str">
            <v>5 20429182</v>
          </cell>
          <cell r="C1658">
            <v>40714</v>
          </cell>
          <cell r="D1658" t="str">
            <v>WP APPROVED</v>
          </cell>
          <cell r="F1658" t="str">
            <v>TIER 3</v>
          </cell>
          <cell r="G1658" t="str">
            <v>UNSKILLED</v>
          </cell>
          <cell r="H1658">
            <v>450</v>
          </cell>
          <cell r="I1658">
            <v>40725</v>
          </cell>
        </row>
        <row r="1659">
          <cell r="A1659" t="str">
            <v>RAJAMANY A/P PERUMAL</v>
          </cell>
          <cell r="B1659" t="str">
            <v>5 10733665</v>
          </cell>
          <cell r="C1659">
            <v>40555</v>
          </cell>
          <cell r="D1659" t="str">
            <v>WP LIVE</v>
          </cell>
          <cell r="E1659">
            <v>40763</v>
          </cell>
          <cell r="F1659" t="str">
            <v>TIER 3</v>
          </cell>
          <cell r="G1659" t="str">
            <v>UNSKILLED</v>
          </cell>
          <cell r="H1659">
            <v>450</v>
          </cell>
          <cell r="I1659">
            <v>40725</v>
          </cell>
        </row>
        <row r="1660">
          <cell r="A1660" t="str">
            <v>RAJAN A/L NAGAMUTHU</v>
          </cell>
          <cell r="B1660" t="str">
            <v>5 29758367</v>
          </cell>
          <cell r="C1660">
            <v>40647</v>
          </cell>
          <cell r="D1660" t="str">
            <v>WP LIVE</v>
          </cell>
          <cell r="E1660">
            <v>41345</v>
          </cell>
          <cell r="F1660" t="str">
            <v>TIER 3</v>
          </cell>
          <cell r="G1660" t="str">
            <v>UNSKILLED</v>
          </cell>
          <cell r="H1660">
            <v>450</v>
          </cell>
          <cell r="I1660">
            <v>40725</v>
          </cell>
        </row>
        <row r="1661">
          <cell r="A1661" t="str">
            <v>RAJAN A/L SUBRAMANIAM</v>
          </cell>
          <cell r="B1661" t="str">
            <v>4 03816442</v>
          </cell>
          <cell r="C1661">
            <v>40704</v>
          </cell>
          <cell r="D1661" t="str">
            <v>WP LIVE</v>
          </cell>
          <cell r="E1661">
            <v>41455</v>
          </cell>
          <cell r="F1661" t="str">
            <v>TIER 3</v>
          </cell>
          <cell r="G1661" t="str">
            <v>UNSKILLED</v>
          </cell>
          <cell r="H1661">
            <v>450</v>
          </cell>
          <cell r="I1661">
            <v>40725</v>
          </cell>
        </row>
        <row r="1662">
          <cell r="A1662" t="str">
            <v>RAJASERI A/P SERANGAN</v>
          </cell>
          <cell r="B1662" t="str">
            <v>5 33130402</v>
          </cell>
          <cell r="C1662">
            <v>40555</v>
          </cell>
          <cell r="D1662" t="str">
            <v>WP LIVE</v>
          </cell>
          <cell r="E1662">
            <v>41235</v>
          </cell>
          <cell r="F1662" t="str">
            <v>TIER 3</v>
          </cell>
          <cell r="G1662" t="str">
            <v>UNSKILLED</v>
          </cell>
          <cell r="H1662">
            <v>450</v>
          </cell>
          <cell r="I1662">
            <v>40555</v>
          </cell>
        </row>
        <row r="1663">
          <cell r="A1663" t="str">
            <v>RAJASWARY A/P KALIDASS</v>
          </cell>
          <cell r="B1663" t="str">
            <v>4 03766038</v>
          </cell>
          <cell r="C1663">
            <v>40666</v>
          </cell>
          <cell r="D1663" t="str">
            <v>WP LIVE</v>
          </cell>
          <cell r="E1663">
            <v>41361</v>
          </cell>
          <cell r="F1663" t="str">
            <v>TIER 3</v>
          </cell>
          <cell r="G1663" t="str">
            <v>UNSKILLED</v>
          </cell>
          <cell r="H1663">
            <v>450</v>
          </cell>
          <cell r="I1663">
            <v>40725</v>
          </cell>
        </row>
        <row r="1664">
          <cell r="A1664" t="str">
            <v>RAJESWARI A/P KANIAPPAN</v>
          </cell>
          <cell r="B1664" t="str">
            <v>4 02499079</v>
          </cell>
          <cell r="C1664">
            <v>40596</v>
          </cell>
          <cell r="D1664" t="str">
            <v>WP LIVE</v>
          </cell>
          <cell r="E1664">
            <v>41328</v>
          </cell>
          <cell r="F1664" t="str">
            <v>TIER 3</v>
          </cell>
          <cell r="G1664" t="str">
            <v>UNSKILLED</v>
          </cell>
          <cell r="H1664">
            <v>450</v>
          </cell>
          <cell r="I1664">
            <v>40596</v>
          </cell>
        </row>
        <row r="1665">
          <cell r="A1665" t="str">
            <v>RAJESWARY A/P SOMALOO</v>
          </cell>
          <cell r="B1665" t="str">
            <v>5 09113688</v>
          </cell>
          <cell r="C1665">
            <v>40696</v>
          </cell>
          <cell r="D1665" t="str">
            <v>WP LIVE</v>
          </cell>
          <cell r="E1665">
            <v>41344</v>
          </cell>
          <cell r="F1665" t="str">
            <v>TIER 3</v>
          </cell>
          <cell r="G1665" t="str">
            <v>UNSKILLED</v>
          </cell>
          <cell r="H1665">
            <v>450</v>
          </cell>
          <cell r="I1665">
            <v>40725</v>
          </cell>
        </row>
        <row r="1666">
          <cell r="A1666" t="str">
            <v>RAJISH A/L M RAJAKUMAR</v>
          </cell>
          <cell r="B1666" t="str">
            <v>4 01094040</v>
          </cell>
          <cell r="C1666">
            <v>40648</v>
          </cell>
          <cell r="D1666" t="str">
            <v>WP LIVE</v>
          </cell>
          <cell r="E1666">
            <v>41248</v>
          </cell>
          <cell r="F1666" t="str">
            <v>TIER 3</v>
          </cell>
          <cell r="G1666" t="str">
            <v>UNSKILLED</v>
          </cell>
          <cell r="H1666">
            <v>450</v>
          </cell>
          <cell r="I1666">
            <v>40725</v>
          </cell>
        </row>
        <row r="1667">
          <cell r="A1667" t="str">
            <v>RAMAIYEE A/P MARIE</v>
          </cell>
          <cell r="B1667" t="str">
            <v>3 58618278</v>
          </cell>
          <cell r="C1667">
            <v>40523</v>
          </cell>
          <cell r="D1667" t="str">
            <v>WP LIVE</v>
          </cell>
          <cell r="E1667">
            <v>41260</v>
          </cell>
          <cell r="F1667" t="str">
            <v>TIER 3</v>
          </cell>
          <cell r="G1667" t="str">
            <v>UNSKILLED</v>
          </cell>
          <cell r="H1667">
            <v>450</v>
          </cell>
          <cell r="I1667">
            <v>40725</v>
          </cell>
        </row>
        <row r="1668">
          <cell r="A1668" t="str">
            <v>RAMAN A/L MUNUSAMY</v>
          </cell>
          <cell r="B1668" t="str">
            <v>3 57542480</v>
          </cell>
          <cell r="C1668">
            <v>40570</v>
          </cell>
          <cell r="D1668" t="str">
            <v>WP LIVE</v>
          </cell>
          <cell r="E1668">
            <v>41330</v>
          </cell>
          <cell r="F1668" t="str">
            <v>TIER 3</v>
          </cell>
          <cell r="G1668" t="str">
            <v>UNSKILLED</v>
          </cell>
          <cell r="H1668">
            <v>450</v>
          </cell>
          <cell r="I1668">
            <v>40725</v>
          </cell>
        </row>
        <row r="1669">
          <cell r="A1669" t="str">
            <v>RAMAN A/L RAMASAMY</v>
          </cell>
          <cell r="B1669" t="str">
            <v>5 26437861</v>
          </cell>
          <cell r="C1669">
            <v>40703</v>
          </cell>
          <cell r="D1669" t="str">
            <v>WP LIVE</v>
          </cell>
          <cell r="E1669">
            <v>41394</v>
          </cell>
          <cell r="F1669" t="str">
            <v>TIER 3</v>
          </cell>
          <cell r="G1669" t="str">
            <v>UNSKILLED</v>
          </cell>
          <cell r="H1669">
            <v>450</v>
          </cell>
          <cell r="I1669">
            <v>40725</v>
          </cell>
        </row>
        <row r="1670">
          <cell r="A1670" t="str">
            <v>RAMAN A/L VEERAPPAN</v>
          </cell>
          <cell r="B1670" t="str">
            <v>5 25267938</v>
          </cell>
          <cell r="C1670">
            <v>40714</v>
          </cell>
          <cell r="D1670" t="str">
            <v>WP APPROVED</v>
          </cell>
          <cell r="F1670" t="str">
            <v>TIER 3</v>
          </cell>
          <cell r="G1670" t="str">
            <v>UNSKILLED</v>
          </cell>
          <cell r="H1670">
            <v>450</v>
          </cell>
          <cell r="I1670">
            <v>40725</v>
          </cell>
        </row>
        <row r="1671">
          <cell r="A1671" t="str">
            <v>RAMAYA A/L SUBRAMANIAM</v>
          </cell>
          <cell r="B1671" t="str">
            <v>5 08500440</v>
          </cell>
          <cell r="C1671">
            <v>40711</v>
          </cell>
          <cell r="D1671" t="str">
            <v>WP APPROVED</v>
          </cell>
          <cell r="F1671" t="str">
            <v>TIER 3</v>
          </cell>
          <cell r="G1671" t="str">
            <v>UNSKILLED</v>
          </cell>
          <cell r="H1671">
            <v>450</v>
          </cell>
          <cell r="I1671">
            <v>40725</v>
          </cell>
        </row>
        <row r="1672">
          <cell r="A1672" t="str">
            <v>RAMES A/L PARAMASIVAM</v>
          </cell>
          <cell r="B1672" t="str">
            <v>4 03678708</v>
          </cell>
          <cell r="C1672">
            <v>40638</v>
          </cell>
          <cell r="D1672" t="str">
            <v>WP LIVE</v>
          </cell>
          <cell r="E1672">
            <v>41275</v>
          </cell>
          <cell r="F1672" t="str">
            <v>TIER 3</v>
          </cell>
          <cell r="G1672" t="str">
            <v>UNSKILLED</v>
          </cell>
          <cell r="H1672">
            <v>450</v>
          </cell>
          <cell r="I1672">
            <v>40725</v>
          </cell>
        </row>
        <row r="1673">
          <cell r="A1673" t="str">
            <v>RAMESH A/L ANNADURAI</v>
          </cell>
          <cell r="B1673" t="str">
            <v>4 03701084</v>
          </cell>
          <cell r="C1673">
            <v>40617</v>
          </cell>
          <cell r="D1673" t="str">
            <v>WP LIVE</v>
          </cell>
          <cell r="E1673">
            <v>41313</v>
          </cell>
          <cell r="F1673" t="str">
            <v>TIER 3</v>
          </cell>
          <cell r="G1673" t="str">
            <v>UNSKILLED</v>
          </cell>
          <cell r="H1673">
            <v>450</v>
          </cell>
          <cell r="I1673">
            <v>40725</v>
          </cell>
        </row>
        <row r="1674">
          <cell r="A1674" t="str">
            <v>RAMESH A/L GUNARATNAM</v>
          </cell>
          <cell r="B1674" t="str">
            <v>4 03199753</v>
          </cell>
          <cell r="C1674">
            <v>40710</v>
          </cell>
          <cell r="D1674" t="str">
            <v>WP APPROVED</v>
          </cell>
          <cell r="F1674" t="str">
            <v>TIER 3</v>
          </cell>
          <cell r="G1674" t="str">
            <v>UNSKILLED</v>
          </cell>
          <cell r="H1674">
            <v>450</v>
          </cell>
          <cell r="I1674">
            <v>40725</v>
          </cell>
        </row>
        <row r="1675">
          <cell r="A1675" t="str">
            <v>RAMESHVARAN ANBALAKAN</v>
          </cell>
          <cell r="B1675" t="str">
            <v>4 0371240-</v>
          </cell>
          <cell r="C1675">
            <v>40679</v>
          </cell>
          <cell r="D1675" t="str">
            <v>WP LIVE</v>
          </cell>
          <cell r="E1675">
            <v>41299</v>
          </cell>
          <cell r="F1675" t="str">
            <v>TIER 3</v>
          </cell>
          <cell r="G1675" t="str">
            <v>UNSKILLED</v>
          </cell>
          <cell r="H1675">
            <v>450</v>
          </cell>
          <cell r="I1675">
            <v>40725</v>
          </cell>
        </row>
        <row r="1676">
          <cell r="A1676" t="str">
            <v>RANI A/P BATHUMALAY</v>
          </cell>
          <cell r="B1676" t="str">
            <v>4 0362148-</v>
          </cell>
          <cell r="C1676">
            <v>40708</v>
          </cell>
          <cell r="D1676" t="str">
            <v>WP LIVE</v>
          </cell>
          <cell r="E1676">
            <v>41234</v>
          </cell>
          <cell r="F1676" t="str">
            <v>TIER 3</v>
          </cell>
          <cell r="G1676" t="str">
            <v>UNSKILLED</v>
          </cell>
          <cell r="H1676">
            <v>450</v>
          </cell>
          <cell r="I1676">
            <v>40725</v>
          </cell>
        </row>
        <row r="1677">
          <cell r="A1677" t="str">
            <v>RANI A/P GOPAL</v>
          </cell>
          <cell r="B1677" t="str">
            <v>5 05231597</v>
          </cell>
          <cell r="C1677">
            <v>40532</v>
          </cell>
          <cell r="D1677" t="str">
            <v>WP LIVE</v>
          </cell>
          <cell r="E1677">
            <v>41177</v>
          </cell>
          <cell r="F1677" t="str">
            <v>TIER 3</v>
          </cell>
          <cell r="G1677" t="str">
            <v>UNSKILLED</v>
          </cell>
          <cell r="H1677">
            <v>450</v>
          </cell>
          <cell r="I1677">
            <v>40725</v>
          </cell>
        </row>
        <row r="1678">
          <cell r="A1678" t="str">
            <v>RANJIDAM A/P KRISHNASAMY</v>
          </cell>
          <cell r="B1678" t="str">
            <v>5 20975020</v>
          </cell>
          <cell r="C1678">
            <v>40569</v>
          </cell>
          <cell r="D1678" t="str">
            <v>WP LIVE</v>
          </cell>
          <cell r="E1678">
            <v>41311</v>
          </cell>
          <cell r="F1678" t="str">
            <v>TIER 3</v>
          </cell>
          <cell r="G1678" t="str">
            <v>UNSKILLED</v>
          </cell>
          <cell r="H1678">
            <v>450</v>
          </cell>
          <cell r="I1678">
            <v>40725</v>
          </cell>
        </row>
        <row r="1679">
          <cell r="A1679" t="str">
            <v>RAVI A/L PARAMASIVAM</v>
          </cell>
          <cell r="B1679" t="str">
            <v>5 28919030</v>
          </cell>
          <cell r="C1679">
            <v>40716</v>
          </cell>
          <cell r="D1679" t="str">
            <v>WP APPROVED</v>
          </cell>
          <cell r="F1679" t="str">
            <v>TIER 3</v>
          </cell>
          <cell r="G1679" t="str">
            <v>UNSKILLED</v>
          </cell>
          <cell r="H1679">
            <v>450</v>
          </cell>
          <cell r="I1679">
            <v>40725</v>
          </cell>
        </row>
        <row r="1680">
          <cell r="A1680" t="str">
            <v>RAVIKUMAR A/L PALANI</v>
          </cell>
          <cell r="B1680" t="str">
            <v>4 02051663</v>
          </cell>
          <cell r="C1680">
            <v>40526</v>
          </cell>
          <cell r="D1680" t="str">
            <v>WP LIVE</v>
          </cell>
          <cell r="E1680">
            <v>41181</v>
          </cell>
          <cell r="F1680" t="str">
            <v>TIER 3</v>
          </cell>
          <cell r="G1680" t="str">
            <v>UNSKILLED</v>
          </cell>
          <cell r="H1680">
            <v>450</v>
          </cell>
          <cell r="I1680">
            <v>40725</v>
          </cell>
        </row>
        <row r="1681">
          <cell r="A1681" t="str">
            <v>RAVINDRAN A/L VENGKITARAMAN</v>
          </cell>
          <cell r="B1681" t="str">
            <v>4 03698105</v>
          </cell>
          <cell r="C1681">
            <v>40709</v>
          </cell>
          <cell r="D1681" t="str">
            <v>WP APPROVED</v>
          </cell>
          <cell r="F1681" t="str">
            <v>TIER 3</v>
          </cell>
          <cell r="G1681" t="str">
            <v>UNSKILLED</v>
          </cell>
          <cell r="H1681">
            <v>450</v>
          </cell>
          <cell r="I1681">
            <v>40725</v>
          </cell>
        </row>
        <row r="1682">
          <cell r="A1682" t="str">
            <v>RAZALI BIN MESMAN</v>
          </cell>
          <cell r="B1682" t="str">
            <v>4 03648779</v>
          </cell>
          <cell r="C1682">
            <v>40570</v>
          </cell>
          <cell r="D1682" t="str">
            <v>WP LIVE</v>
          </cell>
          <cell r="E1682">
            <v>41230</v>
          </cell>
          <cell r="F1682" t="str">
            <v>TIER 3</v>
          </cell>
          <cell r="G1682" t="str">
            <v>UNSKILLED</v>
          </cell>
          <cell r="H1682">
            <v>450</v>
          </cell>
          <cell r="I1682">
            <v>40725</v>
          </cell>
        </row>
        <row r="1683">
          <cell r="A1683" t="str">
            <v>REKHA A/P NADASAN</v>
          </cell>
          <cell r="B1683" t="str">
            <v>4 03593605</v>
          </cell>
          <cell r="C1683">
            <v>40583</v>
          </cell>
          <cell r="D1683" t="str">
            <v>WP LIVE</v>
          </cell>
          <cell r="E1683">
            <v>40933</v>
          </cell>
          <cell r="F1683" t="str">
            <v>TIER 3</v>
          </cell>
          <cell r="G1683" t="str">
            <v>UNSKILLED</v>
          </cell>
          <cell r="H1683">
            <v>450</v>
          </cell>
          <cell r="I1683">
            <v>40725</v>
          </cell>
        </row>
        <row r="1684">
          <cell r="A1684" t="str">
            <v>REMAN KUMAR A/L KRISHENAN</v>
          </cell>
          <cell r="B1684" t="str">
            <v>4 02336900</v>
          </cell>
          <cell r="C1684">
            <v>40716</v>
          </cell>
          <cell r="D1684" t="str">
            <v>WP APPROVED</v>
          </cell>
          <cell r="F1684" t="str">
            <v>TIER 3</v>
          </cell>
          <cell r="G1684" t="str">
            <v>UNSKILLED</v>
          </cell>
          <cell r="H1684">
            <v>450</v>
          </cell>
          <cell r="I1684">
            <v>40725</v>
          </cell>
        </row>
        <row r="1685">
          <cell r="A1685" t="str">
            <v>REMESH A/L SUBRAMANIAM</v>
          </cell>
          <cell r="B1685" t="str">
            <v>5 19951126</v>
          </cell>
          <cell r="C1685">
            <v>40603</v>
          </cell>
          <cell r="D1685" t="str">
            <v>WP LIVE</v>
          </cell>
          <cell r="E1685">
            <v>41349</v>
          </cell>
          <cell r="F1685" t="str">
            <v>TIER 3</v>
          </cell>
          <cell r="G1685" t="str">
            <v>UNSKILLED</v>
          </cell>
          <cell r="H1685">
            <v>450</v>
          </cell>
          <cell r="I1685">
            <v>40725</v>
          </cell>
        </row>
        <row r="1686">
          <cell r="A1686" t="str">
            <v>REN JIAN WEI</v>
          </cell>
          <cell r="B1686" t="str">
            <v>0 7445593-</v>
          </cell>
          <cell r="C1686">
            <v>40683</v>
          </cell>
          <cell r="D1686" t="str">
            <v>WP LIVE</v>
          </cell>
          <cell r="E1686">
            <v>41416</v>
          </cell>
          <cell r="F1686" t="str">
            <v>TIER 3</v>
          </cell>
          <cell r="G1686" t="str">
            <v>UNSKILLED</v>
          </cell>
          <cell r="H1686">
            <v>450</v>
          </cell>
          <cell r="I1686">
            <v>40725</v>
          </cell>
        </row>
        <row r="1687">
          <cell r="A1687" t="str">
            <v>RENGASAMY A/L RAJAPPAN</v>
          </cell>
          <cell r="B1687" t="str">
            <v>4 01339361</v>
          </cell>
          <cell r="C1687">
            <v>40627</v>
          </cell>
          <cell r="D1687" t="str">
            <v>WP LIVE</v>
          </cell>
          <cell r="E1687">
            <v>41165</v>
          </cell>
          <cell r="F1687" t="str">
            <v>TIER 3</v>
          </cell>
          <cell r="G1687" t="str">
            <v>UNSKILLED</v>
          </cell>
          <cell r="H1687">
            <v>450</v>
          </cell>
          <cell r="I1687">
            <v>40725</v>
          </cell>
        </row>
        <row r="1688">
          <cell r="A1688" t="str">
            <v>RETAH A/P RAJALINGAM</v>
          </cell>
          <cell r="B1688" t="str">
            <v>4 03637203</v>
          </cell>
          <cell r="C1688">
            <v>40555</v>
          </cell>
          <cell r="D1688" t="str">
            <v>WP LIVE</v>
          </cell>
          <cell r="E1688">
            <v>41250</v>
          </cell>
          <cell r="F1688" t="str">
            <v>TIER 3</v>
          </cell>
          <cell r="G1688" t="str">
            <v>UNSKILLED</v>
          </cell>
          <cell r="H1688">
            <v>450</v>
          </cell>
          <cell r="I1688">
            <v>40725</v>
          </cell>
        </row>
        <row r="1689">
          <cell r="A1689" t="str">
            <v>RIJOP BIN SAEIMUN</v>
          </cell>
          <cell r="B1689" t="str">
            <v>6 09318295</v>
          </cell>
          <cell r="C1689">
            <v>40721</v>
          </cell>
          <cell r="D1689" t="str">
            <v>WP APPROVED</v>
          </cell>
          <cell r="F1689" t="str">
            <v>TIER 3</v>
          </cell>
          <cell r="G1689" t="str">
            <v>UNSKILLED</v>
          </cell>
          <cell r="H1689">
            <v>450</v>
          </cell>
          <cell r="I1689">
            <v>40725</v>
          </cell>
        </row>
        <row r="1690">
          <cell r="A1690" t="str">
            <v>RITAH A/P RAJAGOPAL</v>
          </cell>
          <cell r="B1690" t="str">
            <v>4 00224269</v>
          </cell>
          <cell r="C1690">
            <v>40511</v>
          </cell>
          <cell r="D1690" t="str">
            <v>WP LIVE</v>
          </cell>
          <cell r="E1690">
            <v>41141</v>
          </cell>
          <cell r="F1690" t="str">
            <v>TIER 3</v>
          </cell>
          <cell r="G1690" t="str">
            <v>UNSKILLED</v>
          </cell>
          <cell r="H1690">
            <v>450</v>
          </cell>
          <cell r="I1690">
            <v>40725</v>
          </cell>
        </row>
        <row r="1691">
          <cell r="A1691" t="str">
            <v>ROSHASLIZA BINTI RAZALI</v>
          </cell>
          <cell r="B1691" t="str">
            <v>4 03639729</v>
          </cell>
          <cell r="C1691">
            <v>40682</v>
          </cell>
          <cell r="D1691" t="str">
            <v>WP LIVE</v>
          </cell>
          <cell r="E1691">
            <v>41160</v>
          </cell>
          <cell r="F1691" t="str">
            <v>TIER 3</v>
          </cell>
          <cell r="G1691" t="str">
            <v>UNSKILLED</v>
          </cell>
          <cell r="H1691">
            <v>450</v>
          </cell>
          <cell r="I1691">
            <v>40725</v>
          </cell>
        </row>
        <row r="1692">
          <cell r="A1692" t="str">
            <v>RUKUMANI A/P SUBRAMANIAM</v>
          </cell>
          <cell r="B1692" t="str">
            <v>4 03742015</v>
          </cell>
          <cell r="C1692">
            <v>40673</v>
          </cell>
          <cell r="D1692" t="str">
            <v>WP LIVE</v>
          </cell>
          <cell r="E1692">
            <v>41315</v>
          </cell>
          <cell r="F1692" t="str">
            <v>TIER 3</v>
          </cell>
          <cell r="G1692" t="str">
            <v>UNSKILLED</v>
          </cell>
          <cell r="H1692">
            <v>450</v>
          </cell>
          <cell r="I1692">
            <v>40725</v>
          </cell>
        </row>
        <row r="1693">
          <cell r="A1693" t="str">
            <v>RUKUMANI AP NADESON</v>
          </cell>
          <cell r="B1693" t="str">
            <v>4 0378138-</v>
          </cell>
          <cell r="C1693">
            <v>40675</v>
          </cell>
          <cell r="D1693" t="str">
            <v>WP LIVE</v>
          </cell>
          <cell r="E1693">
            <v>41430</v>
          </cell>
          <cell r="F1693" t="str">
            <v>TIER 3</v>
          </cell>
          <cell r="G1693" t="str">
            <v>UNSKILLED</v>
          </cell>
          <cell r="H1693">
            <v>450</v>
          </cell>
          <cell r="I1693">
            <v>40725</v>
          </cell>
        </row>
        <row r="1694">
          <cell r="A1694" t="str">
            <v>S JEYAMANY A/P SINAMUTHU</v>
          </cell>
          <cell r="B1694" t="str">
            <v>5 16025255</v>
          </cell>
          <cell r="C1694">
            <v>40686</v>
          </cell>
          <cell r="D1694" t="str">
            <v>WP LIVE</v>
          </cell>
          <cell r="E1694">
            <v>41380</v>
          </cell>
          <cell r="F1694" t="str">
            <v>TIER 3</v>
          </cell>
          <cell r="G1694" t="str">
            <v>UNSKILLED</v>
          </cell>
          <cell r="H1694">
            <v>450</v>
          </cell>
          <cell r="I1694">
            <v>40725</v>
          </cell>
        </row>
        <row r="1695">
          <cell r="A1695" t="str">
            <v>S NADIYA A/P SUPPAYA</v>
          </cell>
          <cell r="B1695" t="str">
            <v>4 03831867</v>
          </cell>
          <cell r="C1695">
            <v>40717</v>
          </cell>
          <cell r="D1695" t="str">
            <v>WP APPROVED</v>
          </cell>
          <cell r="F1695" t="str">
            <v>TIER 3</v>
          </cell>
          <cell r="G1695" t="str">
            <v>UNSKILLED</v>
          </cell>
          <cell r="H1695">
            <v>450</v>
          </cell>
          <cell r="I1695">
            <v>40725</v>
          </cell>
        </row>
        <row r="1696">
          <cell r="A1696" t="str">
            <v>S RATHA A/P SUBRAMANY</v>
          </cell>
          <cell r="B1696" t="str">
            <v>4 03777773</v>
          </cell>
          <cell r="C1696">
            <v>40673</v>
          </cell>
          <cell r="D1696" t="str">
            <v>WP LIVE</v>
          </cell>
          <cell r="E1696">
            <v>41423</v>
          </cell>
          <cell r="F1696" t="str">
            <v>TIER 3</v>
          </cell>
          <cell r="G1696" t="str">
            <v>UNSKILLED</v>
          </cell>
          <cell r="H1696">
            <v>450</v>
          </cell>
          <cell r="I1696">
            <v>40725</v>
          </cell>
        </row>
        <row r="1697">
          <cell r="A1697" t="str">
            <v>S SAROJA A/P SUBRAMANIAM</v>
          </cell>
          <cell r="B1697" t="str">
            <v>5 23966405</v>
          </cell>
          <cell r="C1697">
            <v>40718</v>
          </cell>
          <cell r="D1697" t="str">
            <v>WP APPROVED</v>
          </cell>
          <cell r="F1697" t="str">
            <v>TIER 3</v>
          </cell>
          <cell r="G1697" t="str">
            <v>UNSKILLED</v>
          </cell>
          <cell r="H1697">
            <v>450</v>
          </cell>
          <cell r="I1697">
            <v>40725</v>
          </cell>
        </row>
        <row r="1698">
          <cell r="A1698" t="str">
            <v>S SUNITHA A/P SOOGUMARAN</v>
          </cell>
          <cell r="B1698" t="str">
            <v>4 01341145</v>
          </cell>
          <cell r="C1698">
            <v>40697</v>
          </cell>
          <cell r="D1698" t="str">
            <v>WP LIVE</v>
          </cell>
          <cell r="E1698">
            <v>41452</v>
          </cell>
          <cell r="F1698" t="str">
            <v>TIER 3</v>
          </cell>
          <cell r="G1698" t="str">
            <v>UNSKILLED</v>
          </cell>
          <cell r="H1698">
            <v>450</v>
          </cell>
          <cell r="I1698">
            <v>40725</v>
          </cell>
        </row>
        <row r="1699">
          <cell r="A1699" t="str">
            <v>S THMILARSAN A/L SAMUGAM</v>
          </cell>
          <cell r="B1699" t="str">
            <v>4 02573031</v>
          </cell>
          <cell r="C1699">
            <v>40662</v>
          </cell>
          <cell r="D1699" t="str">
            <v>WP LIVE</v>
          </cell>
          <cell r="E1699">
            <v>41291</v>
          </cell>
          <cell r="F1699" t="str">
            <v>TIER 3</v>
          </cell>
          <cell r="G1699" t="str">
            <v>UNSKILLED</v>
          </cell>
          <cell r="H1699">
            <v>450</v>
          </cell>
          <cell r="I1699">
            <v>40725</v>
          </cell>
        </row>
        <row r="1700">
          <cell r="A1700" t="str">
            <v>SA'ADIAH BINTI MAHMUD</v>
          </cell>
          <cell r="B1700" t="str">
            <v>5 01128899</v>
          </cell>
          <cell r="C1700">
            <v>40595</v>
          </cell>
          <cell r="D1700" t="str">
            <v>WP LIVE</v>
          </cell>
          <cell r="E1700">
            <v>40917</v>
          </cell>
          <cell r="F1700" t="str">
            <v>TIER 3</v>
          </cell>
          <cell r="G1700" t="str">
            <v>UNSKILLED</v>
          </cell>
          <cell r="H1700">
            <v>450</v>
          </cell>
          <cell r="I1700">
            <v>40725</v>
          </cell>
        </row>
        <row r="1701">
          <cell r="A1701" t="str">
            <v>SABRI MOHAMAD BIN IBRAHIM</v>
          </cell>
          <cell r="B1701" t="str">
            <v>4 03757098</v>
          </cell>
          <cell r="C1701">
            <v>40715</v>
          </cell>
          <cell r="D1701" t="str">
            <v>WP APPROVED</v>
          </cell>
          <cell r="F1701" t="str">
            <v>TIER 3</v>
          </cell>
          <cell r="G1701" t="str">
            <v>UNSKILLED</v>
          </cell>
          <cell r="H1701">
            <v>450</v>
          </cell>
          <cell r="I1701">
            <v>40725</v>
          </cell>
        </row>
        <row r="1702">
          <cell r="A1702" t="str">
            <v>SAHLINI A/P MURUGIAH</v>
          </cell>
          <cell r="B1702" t="str">
            <v>4 03087270</v>
          </cell>
          <cell r="C1702">
            <v>40625</v>
          </cell>
          <cell r="D1702" t="str">
            <v>WP LIVE</v>
          </cell>
          <cell r="E1702">
            <v>41153</v>
          </cell>
          <cell r="F1702" t="str">
            <v>TIER 3</v>
          </cell>
          <cell r="G1702" t="str">
            <v>UNSKILLED</v>
          </cell>
          <cell r="H1702">
            <v>450</v>
          </cell>
          <cell r="I1702">
            <v>40725</v>
          </cell>
        </row>
        <row r="1703">
          <cell r="A1703" t="str">
            <v>SAIAMAH BINTI SAMAN</v>
          </cell>
          <cell r="B1703" t="str">
            <v>5 05180569</v>
          </cell>
          <cell r="C1703">
            <v>40525</v>
          </cell>
          <cell r="D1703" t="str">
            <v>WP LIVE</v>
          </cell>
          <cell r="E1703">
            <v>41034</v>
          </cell>
          <cell r="F1703" t="str">
            <v>TIER 3</v>
          </cell>
          <cell r="G1703" t="str">
            <v>UNSKILLED</v>
          </cell>
          <cell r="H1703">
            <v>450</v>
          </cell>
          <cell r="I1703">
            <v>40725</v>
          </cell>
        </row>
        <row r="1704">
          <cell r="A1704" t="str">
            <v>SAKTHI SILAN A/L RAMACHANDRAN</v>
          </cell>
          <cell r="B1704" t="str">
            <v>5 3863719-</v>
          </cell>
          <cell r="C1704">
            <v>40710</v>
          </cell>
          <cell r="D1704" t="str">
            <v>WP APPROVED</v>
          </cell>
          <cell r="F1704" t="str">
            <v>TIER 3</v>
          </cell>
          <cell r="G1704" t="str">
            <v>UNSKILLED</v>
          </cell>
          <cell r="H1704">
            <v>450</v>
          </cell>
          <cell r="I1704">
            <v>40725</v>
          </cell>
        </row>
        <row r="1705">
          <cell r="A1705" t="str">
            <v>SALIMON BIN PARMAN</v>
          </cell>
          <cell r="B1705" t="str">
            <v>3 58134963</v>
          </cell>
          <cell r="C1705">
            <v>40583</v>
          </cell>
          <cell r="D1705" t="str">
            <v>WP LIVE</v>
          </cell>
          <cell r="E1705">
            <v>41100</v>
          </cell>
          <cell r="F1705" t="str">
            <v>TIER 3</v>
          </cell>
          <cell r="G1705" t="str">
            <v>UNSKILLED</v>
          </cell>
          <cell r="H1705">
            <v>450</v>
          </cell>
          <cell r="I1705">
            <v>40725</v>
          </cell>
        </row>
        <row r="1706">
          <cell r="A1706" t="str">
            <v>SALINA BINTI ALI</v>
          </cell>
          <cell r="B1706" t="str">
            <v>5 15157247</v>
          </cell>
          <cell r="C1706">
            <v>40564</v>
          </cell>
          <cell r="D1706" t="str">
            <v>WP LIVE</v>
          </cell>
          <cell r="E1706">
            <v>41058</v>
          </cell>
          <cell r="F1706" t="str">
            <v>TIER 3</v>
          </cell>
          <cell r="G1706" t="str">
            <v>UNSKILLED</v>
          </cell>
          <cell r="H1706">
            <v>450</v>
          </cell>
          <cell r="I1706">
            <v>40725</v>
          </cell>
        </row>
        <row r="1707">
          <cell r="A1707" t="str">
            <v>SALINA BINTI NGAH</v>
          </cell>
          <cell r="B1707" t="str">
            <v>5 0323713-</v>
          </cell>
          <cell r="C1707">
            <v>40721</v>
          </cell>
          <cell r="D1707" t="str">
            <v>WP APPROVED</v>
          </cell>
          <cell r="F1707" t="str">
            <v>TIER 3</v>
          </cell>
          <cell r="G1707" t="str">
            <v>UNSKILLED</v>
          </cell>
          <cell r="H1707">
            <v>450</v>
          </cell>
          <cell r="I1707">
            <v>40725</v>
          </cell>
        </row>
        <row r="1708">
          <cell r="A1708" t="str">
            <v>SALMAH BINTI SHAFIE</v>
          </cell>
          <cell r="B1708" t="str">
            <v>5 21786914</v>
          </cell>
          <cell r="C1708">
            <v>40583</v>
          </cell>
          <cell r="D1708" t="str">
            <v>WP LIVE</v>
          </cell>
          <cell r="E1708">
            <v>41334</v>
          </cell>
          <cell r="F1708" t="str">
            <v>TIER 3</v>
          </cell>
          <cell r="G1708" t="str">
            <v>UNSKILLED</v>
          </cell>
          <cell r="H1708">
            <v>450</v>
          </cell>
          <cell r="I1708">
            <v>40725</v>
          </cell>
        </row>
        <row r="1709">
          <cell r="A1709" t="str">
            <v>SAMINATHAN A/L ARMUGAM</v>
          </cell>
          <cell r="B1709" t="str">
            <v>4 03506982</v>
          </cell>
          <cell r="C1709">
            <v>40693</v>
          </cell>
          <cell r="D1709" t="str">
            <v>WP LIVE</v>
          </cell>
          <cell r="E1709">
            <v>41430</v>
          </cell>
          <cell r="F1709" t="str">
            <v>TIER 3</v>
          </cell>
          <cell r="G1709" t="str">
            <v>UNSKILLED</v>
          </cell>
          <cell r="H1709">
            <v>450</v>
          </cell>
          <cell r="I1709">
            <v>40725</v>
          </cell>
        </row>
        <row r="1710">
          <cell r="A1710" t="str">
            <v>SANDARA DAWI A/P MANIAM</v>
          </cell>
          <cell r="B1710" t="str">
            <v>5 35768137</v>
          </cell>
          <cell r="C1710">
            <v>40589</v>
          </cell>
          <cell r="D1710" t="str">
            <v>WP LIVE</v>
          </cell>
          <cell r="E1710">
            <v>41284</v>
          </cell>
          <cell r="F1710" t="str">
            <v>TIER 3</v>
          </cell>
          <cell r="G1710" t="str">
            <v>UNSKILLED</v>
          </cell>
          <cell r="H1710">
            <v>450</v>
          </cell>
          <cell r="I1710">
            <v>40725</v>
          </cell>
        </row>
        <row r="1711">
          <cell r="A1711" t="str">
            <v>SANGEETHA A/P BERASAMY</v>
          </cell>
          <cell r="B1711" t="str">
            <v>4 03622028</v>
          </cell>
          <cell r="C1711">
            <v>40606</v>
          </cell>
          <cell r="D1711" t="str">
            <v>WP LIVE</v>
          </cell>
          <cell r="E1711">
            <v>41349</v>
          </cell>
          <cell r="F1711" t="str">
            <v>TIER 3</v>
          </cell>
          <cell r="G1711" t="str">
            <v>UNSKILLED</v>
          </cell>
          <cell r="H1711">
            <v>450</v>
          </cell>
          <cell r="I1711">
            <v>40606</v>
          </cell>
        </row>
        <row r="1712">
          <cell r="A1712" t="str">
            <v>SANGKELE KARUPAN A/L RAMU</v>
          </cell>
          <cell r="B1712" t="str">
            <v>4 00396698</v>
          </cell>
          <cell r="C1712">
            <v>40693</v>
          </cell>
          <cell r="D1712" t="str">
            <v>WP LIVE</v>
          </cell>
          <cell r="E1712">
            <v>41430</v>
          </cell>
          <cell r="F1712" t="str">
            <v>TIER 3</v>
          </cell>
          <cell r="G1712" t="str">
            <v>UNSKILLED</v>
          </cell>
          <cell r="H1712">
            <v>450</v>
          </cell>
          <cell r="I1712">
            <v>40725</v>
          </cell>
        </row>
        <row r="1713">
          <cell r="A1713" t="str">
            <v>SANTHA A/P MANIKUNDU</v>
          </cell>
          <cell r="B1713" t="str">
            <v>4 0098512-</v>
          </cell>
          <cell r="C1713">
            <v>40520</v>
          </cell>
          <cell r="D1713" t="str">
            <v>WP LIVE</v>
          </cell>
          <cell r="E1713">
            <v>41260</v>
          </cell>
          <cell r="F1713" t="str">
            <v>TIER 3</v>
          </cell>
          <cell r="G1713" t="str">
            <v>UNSKILLED</v>
          </cell>
          <cell r="H1713">
            <v>450</v>
          </cell>
          <cell r="I1713">
            <v>40725</v>
          </cell>
        </row>
        <row r="1714">
          <cell r="A1714" t="str">
            <v>SANTHI A/P MARAMUTHU</v>
          </cell>
          <cell r="B1714" t="str">
            <v>4 02807482</v>
          </cell>
          <cell r="C1714">
            <v>40676</v>
          </cell>
          <cell r="D1714" t="str">
            <v>WP LIVE</v>
          </cell>
          <cell r="E1714">
            <v>41336</v>
          </cell>
          <cell r="F1714" t="str">
            <v>TIER 3</v>
          </cell>
          <cell r="G1714" t="str">
            <v>UNSKILLED</v>
          </cell>
          <cell r="H1714">
            <v>450</v>
          </cell>
          <cell r="I1714">
            <v>40725</v>
          </cell>
        </row>
        <row r="1715">
          <cell r="A1715" t="str">
            <v>SANTHI A/P P KALIMUTHU</v>
          </cell>
          <cell r="B1715" t="str">
            <v>5 04077993</v>
          </cell>
          <cell r="C1715">
            <v>40667</v>
          </cell>
          <cell r="D1715" t="str">
            <v>WP LIVE</v>
          </cell>
          <cell r="E1715">
            <v>41347</v>
          </cell>
          <cell r="F1715" t="str">
            <v>TIER 3</v>
          </cell>
          <cell r="G1715" t="str">
            <v>UNSKILLED</v>
          </cell>
          <cell r="H1715">
            <v>450</v>
          </cell>
          <cell r="I1715">
            <v>40725</v>
          </cell>
        </row>
        <row r="1716">
          <cell r="A1716" t="str">
            <v>SANTHI A/P SUBRAMANIAM</v>
          </cell>
          <cell r="B1716" t="str">
            <v>4 03745855</v>
          </cell>
          <cell r="C1716">
            <v>40697</v>
          </cell>
          <cell r="D1716" t="str">
            <v>WP LIVE</v>
          </cell>
          <cell r="E1716">
            <v>40976</v>
          </cell>
          <cell r="F1716" t="str">
            <v>TIER 3</v>
          </cell>
          <cell r="G1716" t="str">
            <v>UNSKILLED</v>
          </cell>
          <cell r="H1716">
            <v>450</v>
          </cell>
          <cell r="I1716">
            <v>40725</v>
          </cell>
        </row>
        <row r="1717">
          <cell r="A1717" t="str">
            <v>SANUSI BIN JAINI</v>
          </cell>
          <cell r="B1717" t="str">
            <v>4 03804940</v>
          </cell>
          <cell r="C1717">
            <v>40694</v>
          </cell>
          <cell r="D1717" t="str">
            <v>WP LIVE</v>
          </cell>
          <cell r="E1717">
            <v>40958</v>
          </cell>
          <cell r="F1717" t="str">
            <v>TIER 3</v>
          </cell>
          <cell r="G1717" t="str">
            <v>UNSKILLED</v>
          </cell>
          <cell r="H1717">
            <v>450</v>
          </cell>
          <cell r="I1717">
            <v>40725</v>
          </cell>
        </row>
        <row r="1718">
          <cell r="A1718" t="str">
            <v>SARALAH A/P SELVEM</v>
          </cell>
          <cell r="B1718" t="str">
            <v>4 02127848</v>
          </cell>
          <cell r="C1718">
            <v>40658</v>
          </cell>
          <cell r="D1718" t="str">
            <v>WP LIVE</v>
          </cell>
          <cell r="E1718">
            <v>41094</v>
          </cell>
          <cell r="F1718" t="str">
            <v>TIER 3</v>
          </cell>
          <cell r="G1718" t="str">
            <v>UNSKILLED</v>
          </cell>
          <cell r="H1718">
            <v>450</v>
          </cell>
          <cell r="I1718">
            <v>40725</v>
          </cell>
        </row>
        <row r="1719">
          <cell r="A1719" t="str">
            <v>SARASA A/P S BALAKRISHNAN</v>
          </cell>
          <cell r="B1719" t="str">
            <v>5 13401930</v>
          </cell>
          <cell r="C1719">
            <v>40701</v>
          </cell>
          <cell r="D1719" t="str">
            <v>WP LIVE</v>
          </cell>
          <cell r="E1719">
            <v>41441</v>
          </cell>
          <cell r="F1719" t="str">
            <v>TIER 3</v>
          </cell>
          <cell r="G1719" t="str">
            <v>UNSKILLED</v>
          </cell>
          <cell r="H1719">
            <v>450</v>
          </cell>
          <cell r="I1719">
            <v>40725</v>
          </cell>
        </row>
        <row r="1720">
          <cell r="A1720" t="str">
            <v>SARASBATHI A/P LETCHYMANAC</v>
          </cell>
          <cell r="B1720" t="str">
            <v>5 13377576</v>
          </cell>
          <cell r="C1720">
            <v>40716</v>
          </cell>
          <cell r="D1720" t="str">
            <v>WP APPROVED</v>
          </cell>
          <cell r="F1720" t="str">
            <v>TIER 3</v>
          </cell>
          <cell r="G1720" t="str">
            <v>UNSKILLED</v>
          </cell>
          <cell r="H1720">
            <v>450</v>
          </cell>
          <cell r="I1720">
            <v>40725</v>
          </cell>
        </row>
        <row r="1721">
          <cell r="A1721" t="str">
            <v>SARASPADY A/P MUNUGIAH @ SUNDERAN</v>
          </cell>
          <cell r="B1721" t="str">
            <v>5 37299428</v>
          </cell>
          <cell r="C1721">
            <v>40700</v>
          </cell>
          <cell r="D1721" t="str">
            <v>WP LIVE</v>
          </cell>
          <cell r="E1721">
            <v>41194</v>
          </cell>
          <cell r="F1721" t="str">
            <v>TIER 3</v>
          </cell>
          <cell r="G1721" t="str">
            <v>UNSKILLED</v>
          </cell>
          <cell r="H1721">
            <v>450</v>
          </cell>
          <cell r="I1721">
            <v>40725</v>
          </cell>
        </row>
        <row r="1722">
          <cell r="A1722" t="str">
            <v>SARASWATHY A/P LEKSHMANAN</v>
          </cell>
          <cell r="B1722" t="str">
            <v>4 0363042-</v>
          </cell>
          <cell r="C1722">
            <v>40675</v>
          </cell>
          <cell r="D1722" t="str">
            <v>WP LIVE</v>
          </cell>
          <cell r="E1722">
            <v>41066</v>
          </cell>
          <cell r="F1722" t="str">
            <v>TIER 3</v>
          </cell>
          <cell r="G1722" t="str">
            <v>UNSKILLED</v>
          </cell>
          <cell r="H1722">
            <v>450</v>
          </cell>
          <cell r="I1722">
            <v>40725</v>
          </cell>
        </row>
        <row r="1723">
          <cell r="A1723" t="str">
            <v>SARASWATHY A/P RAJOO</v>
          </cell>
          <cell r="B1723" t="str">
            <v>4 0325245-</v>
          </cell>
          <cell r="C1723">
            <v>40569</v>
          </cell>
          <cell r="D1723" t="str">
            <v>WP LIVE</v>
          </cell>
          <cell r="E1723">
            <v>40836</v>
          </cell>
          <cell r="F1723" t="str">
            <v>TIER 3</v>
          </cell>
          <cell r="G1723" t="str">
            <v>UNSKILLED</v>
          </cell>
          <cell r="H1723">
            <v>450</v>
          </cell>
          <cell r="I1723">
            <v>40725</v>
          </cell>
        </row>
        <row r="1724">
          <cell r="A1724" t="str">
            <v>SARAVANAA A/L KALIMUTHU</v>
          </cell>
          <cell r="B1724" t="str">
            <v>4 00047677</v>
          </cell>
          <cell r="C1724">
            <v>40723</v>
          </cell>
          <cell r="D1724" t="str">
            <v>WP APPROVED</v>
          </cell>
          <cell r="F1724" t="str">
            <v>TIER 3</v>
          </cell>
          <cell r="G1724" t="str">
            <v>UNSKILLED</v>
          </cell>
          <cell r="H1724">
            <v>450</v>
          </cell>
          <cell r="I1724">
            <v>40725</v>
          </cell>
        </row>
        <row r="1725">
          <cell r="A1725" t="str">
            <v>SARAVANAN A/L KUPPAN</v>
          </cell>
          <cell r="B1725" t="str">
            <v>4 03825638</v>
          </cell>
          <cell r="C1725">
            <v>40711</v>
          </cell>
          <cell r="D1725" t="str">
            <v>WP APPROVED</v>
          </cell>
          <cell r="F1725" t="str">
            <v>TIER 3</v>
          </cell>
          <cell r="G1725" t="str">
            <v>UNSKILLED</v>
          </cell>
          <cell r="H1725">
            <v>450</v>
          </cell>
          <cell r="I1725">
            <v>40725</v>
          </cell>
        </row>
        <row r="1726">
          <cell r="A1726" t="str">
            <v>SARMILA A/P ANBALAKAN</v>
          </cell>
          <cell r="B1726" t="str">
            <v>4 03717959</v>
          </cell>
          <cell r="C1726">
            <v>40679</v>
          </cell>
          <cell r="D1726" t="str">
            <v>WP LIVE</v>
          </cell>
          <cell r="E1726">
            <v>41301</v>
          </cell>
          <cell r="F1726" t="str">
            <v>TIER 3</v>
          </cell>
          <cell r="G1726" t="str">
            <v>UNSKILLED</v>
          </cell>
          <cell r="H1726">
            <v>450</v>
          </cell>
          <cell r="I1726">
            <v>40725</v>
          </cell>
        </row>
        <row r="1727">
          <cell r="A1727" t="str">
            <v>SAROJA A/P BATUMALAI</v>
          </cell>
          <cell r="B1727" t="str">
            <v>3 68079278</v>
          </cell>
          <cell r="C1727">
            <v>40583</v>
          </cell>
          <cell r="D1727" t="str">
            <v>WP LIVE</v>
          </cell>
          <cell r="E1727">
            <v>41321</v>
          </cell>
          <cell r="F1727" t="str">
            <v>TIER 3</v>
          </cell>
          <cell r="G1727" t="str">
            <v>UNSKILLED</v>
          </cell>
          <cell r="H1727">
            <v>450</v>
          </cell>
          <cell r="I1727">
            <v>40725</v>
          </cell>
        </row>
        <row r="1728">
          <cell r="A1728" t="str">
            <v>SAROJA A/P GOVINDASAMY</v>
          </cell>
          <cell r="B1728" t="str">
            <v>5 01311332</v>
          </cell>
          <cell r="C1728">
            <v>40521</v>
          </cell>
          <cell r="D1728" t="str">
            <v>WP LIVE</v>
          </cell>
          <cell r="E1728">
            <v>41174</v>
          </cell>
          <cell r="F1728" t="str">
            <v>TIER 3</v>
          </cell>
          <cell r="G1728" t="str">
            <v>UNSKILLED</v>
          </cell>
          <cell r="H1728">
            <v>450</v>
          </cell>
          <cell r="I1728">
            <v>40725</v>
          </cell>
        </row>
        <row r="1729">
          <cell r="A1729" t="str">
            <v>SAROJINI A/P MUNIYANDI</v>
          </cell>
          <cell r="B1729" t="str">
            <v>4 01219110</v>
          </cell>
          <cell r="C1729">
            <v>40707</v>
          </cell>
          <cell r="D1729" t="str">
            <v>WP LIVE</v>
          </cell>
          <cell r="E1729">
            <v>41221</v>
          </cell>
          <cell r="F1729" t="str">
            <v>TIER 3</v>
          </cell>
          <cell r="G1729" t="str">
            <v>UNSKILLED</v>
          </cell>
          <cell r="H1729">
            <v>450</v>
          </cell>
          <cell r="I1729">
            <v>40725</v>
          </cell>
        </row>
        <row r="1730">
          <cell r="A1730" t="str">
            <v>SAROJINI A/P SUBRAMANIAM</v>
          </cell>
          <cell r="B1730" t="str">
            <v>5 36962360</v>
          </cell>
          <cell r="C1730">
            <v>40717</v>
          </cell>
          <cell r="D1730" t="str">
            <v>WP APPROVED</v>
          </cell>
          <cell r="F1730" t="str">
            <v>TIER 3</v>
          </cell>
          <cell r="G1730" t="str">
            <v>UNSKILLED</v>
          </cell>
          <cell r="H1730">
            <v>450</v>
          </cell>
          <cell r="I1730">
            <v>40725</v>
          </cell>
        </row>
        <row r="1731">
          <cell r="A1731" t="str">
            <v>SARWESWARY A/P SUBRAMANIAM</v>
          </cell>
          <cell r="B1731" t="str">
            <v>4 03794406</v>
          </cell>
          <cell r="C1731">
            <v>40693</v>
          </cell>
          <cell r="D1731" t="str">
            <v>WP LIVE</v>
          </cell>
          <cell r="E1731">
            <v>41376</v>
          </cell>
          <cell r="F1731" t="str">
            <v>TIER 3</v>
          </cell>
          <cell r="G1731" t="str">
            <v>UNSKILLED</v>
          </cell>
          <cell r="H1731">
            <v>450</v>
          </cell>
          <cell r="I1731">
            <v>40725</v>
          </cell>
        </row>
        <row r="1732">
          <cell r="A1732" t="str">
            <v>SASIITHA A/P RAVINTHARAN</v>
          </cell>
          <cell r="B1732" t="str">
            <v>4 03175684</v>
          </cell>
          <cell r="C1732">
            <v>40592</v>
          </cell>
          <cell r="D1732" t="str">
            <v>WP LIVE</v>
          </cell>
          <cell r="E1732">
            <v>41339</v>
          </cell>
          <cell r="F1732" t="str">
            <v>TIER 3</v>
          </cell>
          <cell r="G1732" t="str">
            <v>UNSKILLED</v>
          </cell>
          <cell r="H1732">
            <v>450</v>
          </cell>
          <cell r="I1732">
            <v>40725</v>
          </cell>
        </row>
        <row r="1733">
          <cell r="A1733" t="str">
            <v>SATHASIVAM A/L MUNUSAMY</v>
          </cell>
          <cell r="B1733" t="str">
            <v>5 27556538</v>
          </cell>
          <cell r="C1733">
            <v>40687</v>
          </cell>
          <cell r="D1733" t="str">
            <v>WP LIVE</v>
          </cell>
          <cell r="E1733">
            <v>41357</v>
          </cell>
          <cell r="F1733" t="str">
            <v>TIER 3</v>
          </cell>
          <cell r="G1733" t="str">
            <v>UNSKILLED</v>
          </cell>
          <cell r="H1733">
            <v>450</v>
          </cell>
          <cell r="I1733">
            <v>40725</v>
          </cell>
        </row>
        <row r="1734">
          <cell r="A1734" t="str">
            <v>SATHIA PAKIAMAL A/P D IRUDAYAM</v>
          </cell>
          <cell r="B1734" t="str">
            <v>3 71999809</v>
          </cell>
          <cell r="C1734">
            <v>40627</v>
          </cell>
          <cell r="D1734" t="str">
            <v>WP LIVE</v>
          </cell>
          <cell r="E1734">
            <v>41371</v>
          </cell>
          <cell r="F1734" t="str">
            <v>TIER 3</v>
          </cell>
          <cell r="G1734" t="str">
            <v>UNSKILLED</v>
          </cell>
          <cell r="H1734">
            <v>450</v>
          </cell>
          <cell r="I1734">
            <v>40725</v>
          </cell>
        </row>
        <row r="1735">
          <cell r="A1735" t="str">
            <v>SATHISH KUMAR A/L SATIASILAN</v>
          </cell>
          <cell r="B1735" t="str">
            <v>4 03743771</v>
          </cell>
          <cell r="C1735">
            <v>40646</v>
          </cell>
          <cell r="D1735" t="str">
            <v>WP LIVE</v>
          </cell>
          <cell r="E1735">
            <v>41319</v>
          </cell>
          <cell r="F1735" t="str">
            <v>TIER 3</v>
          </cell>
          <cell r="G1735" t="str">
            <v>UNSKILLED</v>
          </cell>
          <cell r="H1735">
            <v>450</v>
          </cell>
          <cell r="I1735">
            <v>40725</v>
          </cell>
        </row>
        <row r="1736">
          <cell r="A1736" t="str">
            <v>SELVA DURAI A/L SUPERMANIAM</v>
          </cell>
          <cell r="B1736" t="str">
            <v>4 03768154</v>
          </cell>
          <cell r="C1736">
            <v>40667</v>
          </cell>
          <cell r="D1736" t="str">
            <v>WP LIVE</v>
          </cell>
          <cell r="E1736">
            <v>41416</v>
          </cell>
          <cell r="F1736" t="str">
            <v>TIER 3</v>
          </cell>
          <cell r="G1736" t="str">
            <v>UNSKILLED</v>
          </cell>
          <cell r="H1736">
            <v>450</v>
          </cell>
          <cell r="I1736">
            <v>40725</v>
          </cell>
        </row>
        <row r="1737">
          <cell r="A1737" t="str">
            <v>SELVI A/P BATUMALAI</v>
          </cell>
          <cell r="B1737" t="str">
            <v>5 3096034-</v>
          </cell>
          <cell r="C1737">
            <v>40596</v>
          </cell>
          <cell r="D1737" t="str">
            <v>WP LIVE</v>
          </cell>
          <cell r="E1737">
            <v>41332</v>
          </cell>
          <cell r="F1737" t="str">
            <v>TIER 3</v>
          </cell>
          <cell r="G1737" t="str">
            <v>UNSKILLED</v>
          </cell>
          <cell r="H1737">
            <v>450</v>
          </cell>
          <cell r="I1737">
            <v>40725</v>
          </cell>
        </row>
        <row r="1738">
          <cell r="A1738" t="str">
            <v>SENBAGAM A/P KALAIPERUMAL</v>
          </cell>
          <cell r="B1738" t="str">
            <v>4 02800739</v>
          </cell>
          <cell r="C1738">
            <v>40508</v>
          </cell>
          <cell r="D1738" t="str">
            <v>WP LIVE</v>
          </cell>
          <cell r="E1738">
            <v>41244</v>
          </cell>
          <cell r="F1738" t="str">
            <v>TIER 3</v>
          </cell>
          <cell r="G1738" t="str">
            <v>UNSKILLED</v>
          </cell>
          <cell r="H1738">
            <v>450</v>
          </cell>
          <cell r="I1738">
            <v>40508</v>
          </cell>
        </row>
        <row r="1739">
          <cell r="A1739" t="str">
            <v>SHAMUNDISWARY A/P NAGIYAH</v>
          </cell>
          <cell r="B1739" t="str">
            <v>4 03831808</v>
          </cell>
          <cell r="C1739">
            <v>40717</v>
          </cell>
          <cell r="D1739" t="str">
            <v>WP APPROVED</v>
          </cell>
          <cell r="F1739" t="str">
            <v>TIER 3</v>
          </cell>
          <cell r="G1739" t="str">
            <v>UNSKILLED</v>
          </cell>
          <cell r="H1739">
            <v>450</v>
          </cell>
          <cell r="I1739">
            <v>40725</v>
          </cell>
        </row>
        <row r="1740">
          <cell r="A1740" t="str">
            <v>SHANTHI A/P KANDASAMY</v>
          </cell>
          <cell r="B1740" t="str">
            <v>3 73084999</v>
          </cell>
          <cell r="C1740">
            <v>40588</v>
          </cell>
          <cell r="D1740" t="str">
            <v>WP LIVE</v>
          </cell>
          <cell r="E1740">
            <v>41284</v>
          </cell>
          <cell r="F1740" t="str">
            <v>TIER 3</v>
          </cell>
          <cell r="G1740" t="str">
            <v>UNSKILLED</v>
          </cell>
          <cell r="H1740">
            <v>450</v>
          </cell>
          <cell r="I1740">
            <v>40725</v>
          </cell>
        </row>
        <row r="1741">
          <cell r="A1741" t="str">
            <v>SHARIFAH ADAWIAH BT SYED ABDUL KADIR</v>
          </cell>
          <cell r="B1741" t="str">
            <v>5 34773900</v>
          </cell>
          <cell r="C1741">
            <v>40714</v>
          </cell>
          <cell r="D1741" t="str">
            <v>WP APPROVED</v>
          </cell>
          <cell r="F1741" t="str">
            <v>TIER 3</v>
          </cell>
          <cell r="G1741" t="str">
            <v>UNSKILLED</v>
          </cell>
          <cell r="H1741">
            <v>450</v>
          </cell>
          <cell r="I1741">
            <v>40725</v>
          </cell>
        </row>
        <row r="1742">
          <cell r="A1742" t="str">
            <v>SHARMILA A/P SAKATHEVAN</v>
          </cell>
          <cell r="B1742" t="str">
            <v>4 03052175</v>
          </cell>
          <cell r="C1742">
            <v>40532</v>
          </cell>
          <cell r="D1742" t="str">
            <v>WP LIVE</v>
          </cell>
          <cell r="E1742">
            <v>41264</v>
          </cell>
          <cell r="F1742" t="str">
            <v>TIER 3</v>
          </cell>
          <cell r="G1742" t="str">
            <v>UNSKILLED</v>
          </cell>
          <cell r="H1742">
            <v>450</v>
          </cell>
          <cell r="I1742">
            <v>40725</v>
          </cell>
        </row>
        <row r="1743">
          <cell r="A1743" t="str">
            <v>SHARON VIVA ANAK JORES</v>
          </cell>
          <cell r="B1743" t="str">
            <v>4 03649929</v>
          </cell>
          <cell r="C1743">
            <v>40630</v>
          </cell>
          <cell r="D1743" t="str">
            <v>WP LIVE</v>
          </cell>
          <cell r="E1743">
            <v>41257</v>
          </cell>
          <cell r="F1743" t="str">
            <v>TIER 3</v>
          </cell>
          <cell r="G1743" t="str">
            <v>UNSKILLED</v>
          </cell>
          <cell r="H1743">
            <v>450</v>
          </cell>
          <cell r="I1743">
            <v>40725</v>
          </cell>
        </row>
        <row r="1744">
          <cell r="A1744" t="str">
            <v>SHASI SREVARMA BALU</v>
          </cell>
          <cell r="B1744" t="str">
            <v>4 03676403</v>
          </cell>
          <cell r="C1744">
            <v>40602</v>
          </cell>
          <cell r="D1744" t="str">
            <v>WP LIVE</v>
          </cell>
          <cell r="E1744">
            <v>41295</v>
          </cell>
          <cell r="F1744" t="str">
            <v>TIER 3</v>
          </cell>
          <cell r="G1744" t="str">
            <v>UNSKILLED</v>
          </cell>
          <cell r="H1744">
            <v>450</v>
          </cell>
          <cell r="I1744">
            <v>40725</v>
          </cell>
        </row>
        <row r="1745">
          <cell r="A1745" t="str">
            <v>SHASIKUMAR A/L HARIKRISHNASAMY</v>
          </cell>
          <cell r="B1745" t="str">
            <v>4 03424498</v>
          </cell>
          <cell r="C1745">
            <v>40654</v>
          </cell>
          <cell r="D1745" t="str">
            <v>WP LIVE</v>
          </cell>
          <cell r="E1745">
            <v>41010</v>
          </cell>
          <cell r="F1745" t="str">
            <v>TIER 3</v>
          </cell>
          <cell r="G1745" t="str">
            <v>UNSKILLED</v>
          </cell>
          <cell r="H1745">
            <v>450</v>
          </cell>
          <cell r="I1745">
            <v>40725</v>
          </cell>
        </row>
        <row r="1746">
          <cell r="A1746" t="str">
            <v>SHEELA A/P SUBRAMANIAM</v>
          </cell>
          <cell r="B1746" t="str">
            <v>4 01340335</v>
          </cell>
          <cell r="C1746">
            <v>40646</v>
          </cell>
          <cell r="D1746" t="str">
            <v>WP LIVE</v>
          </cell>
          <cell r="E1746">
            <v>41251</v>
          </cell>
          <cell r="F1746" t="str">
            <v>TIER 3</v>
          </cell>
          <cell r="G1746" t="str">
            <v>UNSKILLED</v>
          </cell>
          <cell r="H1746">
            <v>450</v>
          </cell>
          <cell r="I1746">
            <v>40725</v>
          </cell>
        </row>
        <row r="1747">
          <cell r="A1747" t="str">
            <v>SHEN LANHANG</v>
          </cell>
          <cell r="B1747" t="str">
            <v>0 74443524</v>
          </cell>
          <cell r="C1747">
            <v>40675</v>
          </cell>
          <cell r="D1747" t="str">
            <v>WP LIVE</v>
          </cell>
          <cell r="E1747">
            <v>41411</v>
          </cell>
          <cell r="F1747" t="str">
            <v>TIER 3</v>
          </cell>
          <cell r="G1747" t="str">
            <v>UNSKILLED</v>
          </cell>
          <cell r="H1747">
            <v>450</v>
          </cell>
          <cell r="I1747">
            <v>40725</v>
          </cell>
        </row>
        <row r="1748">
          <cell r="A1748" t="str">
            <v>SHI XIAOZHUAN</v>
          </cell>
          <cell r="B1748" t="str">
            <v>0 74287077</v>
          </cell>
          <cell r="C1748">
            <v>40575</v>
          </cell>
          <cell r="D1748" t="str">
            <v>WP LIVE</v>
          </cell>
          <cell r="E1748">
            <v>41319</v>
          </cell>
          <cell r="F1748" t="str">
            <v>TIER 3</v>
          </cell>
          <cell r="G1748" t="str">
            <v>UNSKILLED</v>
          </cell>
          <cell r="H1748">
            <v>450</v>
          </cell>
          <cell r="I1748">
            <v>40725</v>
          </cell>
        </row>
        <row r="1749">
          <cell r="A1749" t="str">
            <v>SHOBANAH A/P TAN GARAS</v>
          </cell>
          <cell r="B1749" t="str">
            <v>4 02761563</v>
          </cell>
          <cell r="C1749">
            <v>40630</v>
          </cell>
          <cell r="D1749" t="str">
            <v>WP LIVE</v>
          </cell>
          <cell r="E1749">
            <v>41306</v>
          </cell>
          <cell r="F1749" t="str">
            <v>TIER 3</v>
          </cell>
          <cell r="G1749" t="str">
            <v>UNSKILLED</v>
          </cell>
          <cell r="H1749">
            <v>450</v>
          </cell>
          <cell r="I1749">
            <v>40725</v>
          </cell>
        </row>
        <row r="1750">
          <cell r="A1750" t="str">
            <v>SHU JIANMEI</v>
          </cell>
          <cell r="B1750" t="str">
            <v>0 72160487</v>
          </cell>
          <cell r="C1750">
            <v>40709</v>
          </cell>
          <cell r="D1750" t="str">
            <v>WP APPROVED</v>
          </cell>
          <cell r="F1750" t="str">
            <v>TIER 3</v>
          </cell>
          <cell r="G1750" t="str">
            <v>UNSKILLED</v>
          </cell>
          <cell r="H1750">
            <v>450</v>
          </cell>
          <cell r="I1750">
            <v>40725</v>
          </cell>
        </row>
        <row r="1751">
          <cell r="A1751" t="str">
            <v>SILVA KUMAR A/L SATHIVELOO</v>
          </cell>
          <cell r="B1751" t="str">
            <v>5 18133594</v>
          </cell>
          <cell r="C1751">
            <v>40689</v>
          </cell>
          <cell r="D1751" t="str">
            <v>WP LIVE</v>
          </cell>
          <cell r="E1751">
            <v>41430</v>
          </cell>
          <cell r="F1751" t="str">
            <v>TIER 3</v>
          </cell>
          <cell r="G1751" t="str">
            <v>UNSKILLED</v>
          </cell>
          <cell r="H1751">
            <v>450</v>
          </cell>
          <cell r="I1751">
            <v>40725</v>
          </cell>
        </row>
        <row r="1752">
          <cell r="A1752" t="str">
            <v>SIMANGALAM A/L SUBRAMANIAN</v>
          </cell>
          <cell r="B1752" t="str">
            <v>3 70307954</v>
          </cell>
          <cell r="C1752">
            <v>40696</v>
          </cell>
          <cell r="D1752" t="str">
            <v>WP LIVE</v>
          </cell>
          <cell r="E1752">
            <v>41221</v>
          </cell>
          <cell r="F1752" t="str">
            <v>TIER 3</v>
          </cell>
          <cell r="G1752" t="str">
            <v>UNSKILLED</v>
          </cell>
          <cell r="H1752">
            <v>450</v>
          </cell>
          <cell r="I1752">
            <v>40725</v>
          </cell>
        </row>
        <row r="1753">
          <cell r="A1753" t="str">
            <v>SIRIVALLI A/P PANI SELVEM</v>
          </cell>
          <cell r="B1753" t="str">
            <v>4 03746045</v>
          </cell>
          <cell r="C1753">
            <v>40648</v>
          </cell>
          <cell r="D1753" t="str">
            <v>WP LIVE</v>
          </cell>
          <cell r="E1753">
            <v>41391</v>
          </cell>
          <cell r="F1753" t="str">
            <v>TIER 3</v>
          </cell>
          <cell r="G1753" t="str">
            <v>UNSKILLED</v>
          </cell>
          <cell r="H1753">
            <v>450</v>
          </cell>
          <cell r="I1753">
            <v>40725</v>
          </cell>
        </row>
        <row r="1754">
          <cell r="A1754" t="str">
            <v>SITI FATIMAH BINTI SAMSUDIN</v>
          </cell>
          <cell r="B1754" t="str">
            <v>5 20607994</v>
          </cell>
          <cell r="C1754">
            <v>40697</v>
          </cell>
          <cell r="D1754" t="str">
            <v>WP LIVE</v>
          </cell>
          <cell r="E1754">
            <v>41183</v>
          </cell>
          <cell r="F1754" t="str">
            <v>TIER 3</v>
          </cell>
          <cell r="G1754" t="str">
            <v>UNSKILLED</v>
          </cell>
          <cell r="H1754">
            <v>450</v>
          </cell>
          <cell r="I1754">
            <v>40725</v>
          </cell>
        </row>
        <row r="1755">
          <cell r="A1755" t="str">
            <v>SITI ROHAYA BINTI SAYAT</v>
          </cell>
          <cell r="B1755" t="str">
            <v>4 03820539</v>
          </cell>
          <cell r="C1755">
            <v>40708</v>
          </cell>
          <cell r="D1755" t="str">
            <v>WP LIVE</v>
          </cell>
          <cell r="E1755">
            <v>41401</v>
          </cell>
          <cell r="F1755" t="str">
            <v>TIER 3</v>
          </cell>
          <cell r="G1755" t="str">
            <v>UNSKILLED</v>
          </cell>
          <cell r="H1755">
            <v>450</v>
          </cell>
          <cell r="I1755">
            <v>40725</v>
          </cell>
        </row>
        <row r="1756">
          <cell r="A1756" t="str">
            <v>SITI SANISAH BINTI ABDUL MUIS</v>
          </cell>
          <cell r="B1756" t="str">
            <v>4 03821268</v>
          </cell>
          <cell r="C1756">
            <v>40714</v>
          </cell>
          <cell r="D1756" t="str">
            <v>WP APPROVED</v>
          </cell>
          <cell r="F1756" t="str">
            <v>TIER 3</v>
          </cell>
          <cell r="G1756" t="str">
            <v>UNSKILLED</v>
          </cell>
          <cell r="H1756">
            <v>450</v>
          </cell>
          <cell r="I1756">
            <v>40725</v>
          </cell>
        </row>
        <row r="1757">
          <cell r="A1757" t="str">
            <v>SITI SAUDAH BINTI YAAKUB</v>
          </cell>
          <cell r="B1757" t="str">
            <v>5 19848848</v>
          </cell>
          <cell r="C1757">
            <v>40646</v>
          </cell>
          <cell r="D1757" t="str">
            <v>WP LIVE</v>
          </cell>
          <cell r="E1757">
            <v>41330</v>
          </cell>
          <cell r="F1757" t="str">
            <v>TIER 3</v>
          </cell>
          <cell r="G1757" t="str">
            <v>UNSKILLED</v>
          </cell>
          <cell r="H1757">
            <v>450</v>
          </cell>
          <cell r="I1757">
            <v>40725</v>
          </cell>
        </row>
        <row r="1758">
          <cell r="A1758" t="str">
            <v>SIVAJI KRISHNAN A/L MUNIANDY</v>
          </cell>
          <cell r="B1758" t="str">
            <v>5 17461040</v>
          </cell>
          <cell r="C1758">
            <v>40673</v>
          </cell>
          <cell r="D1758" t="str">
            <v>WP LIVE</v>
          </cell>
          <cell r="E1758">
            <v>41326</v>
          </cell>
          <cell r="F1758" t="str">
            <v>TIER 3</v>
          </cell>
          <cell r="G1758" t="str">
            <v>UNSKILLED</v>
          </cell>
          <cell r="H1758">
            <v>450</v>
          </cell>
          <cell r="I1758">
            <v>40725</v>
          </cell>
        </row>
        <row r="1759">
          <cell r="A1759" t="str">
            <v>SIVARANNI A/P KUPPUSAMY</v>
          </cell>
          <cell r="B1759" t="str">
            <v>5 30536246</v>
          </cell>
          <cell r="C1759">
            <v>40695</v>
          </cell>
          <cell r="D1759" t="str">
            <v>WP LIVE</v>
          </cell>
          <cell r="E1759">
            <v>41328</v>
          </cell>
          <cell r="F1759" t="str">
            <v>TIER 3</v>
          </cell>
          <cell r="G1759" t="str">
            <v>UNSKILLED</v>
          </cell>
          <cell r="H1759">
            <v>450</v>
          </cell>
          <cell r="I1759">
            <v>40725</v>
          </cell>
        </row>
        <row r="1760">
          <cell r="A1760" t="str">
            <v>SIVASANKARE A/P RAMARAO</v>
          </cell>
          <cell r="B1760" t="str">
            <v>4 0308980-</v>
          </cell>
          <cell r="C1760">
            <v>40723</v>
          </cell>
          <cell r="D1760" t="str">
            <v>WP APPROVED</v>
          </cell>
          <cell r="F1760" t="str">
            <v>TIER 3</v>
          </cell>
          <cell r="G1760" t="str">
            <v>UNSKILLED</v>
          </cell>
          <cell r="H1760">
            <v>450</v>
          </cell>
          <cell r="I1760">
            <v>40725</v>
          </cell>
        </row>
        <row r="1761">
          <cell r="A1761" t="str">
            <v>SONA@ HALTINA BINTI GOSOPOK</v>
          </cell>
          <cell r="B1761" t="str">
            <v>6 09100648</v>
          </cell>
          <cell r="C1761">
            <v>40701</v>
          </cell>
          <cell r="D1761" t="str">
            <v>WP LIVE</v>
          </cell>
          <cell r="E1761">
            <v>41452</v>
          </cell>
          <cell r="F1761" t="str">
            <v>TIER 3</v>
          </cell>
          <cell r="G1761" t="str">
            <v>UNSKILLED</v>
          </cell>
          <cell r="H1761">
            <v>450</v>
          </cell>
          <cell r="I1761">
            <v>40725</v>
          </cell>
        </row>
        <row r="1762">
          <cell r="A1762" t="str">
            <v>SOO GAIK SEE</v>
          </cell>
          <cell r="B1762" t="str">
            <v>3 55366146</v>
          </cell>
          <cell r="C1762">
            <v>40599</v>
          </cell>
          <cell r="D1762" t="str">
            <v>WP LIVE</v>
          </cell>
          <cell r="E1762">
            <v>41342</v>
          </cell>
          <cell r="F1762" t="str">
            <v>TIER 3</v>
          </cell>
          <cell r="G1762" t="str">
            <v>UNSKILLED</v>
          </cell>
          <cell r="H1762">
            <v>450</v>
          </cell>
          <cell r="I1762">
            <v>40599</v>
          </cell>
        </row>
        <row r="1763">
          <cell r="A1763" t="str">
            <v>SOROJADEVI A/P SENDARAYAN</v>
          </cell>
          <cell r="B1763" t="str">
            <v>3 71962735</v>
          </cell>
          <cell r="C1763">
            <v>40715</v>
          </cell>
          <cell r="D1763" t="str">
            <v>WP LIVE</v>
          </cell>
          <cell r="E1763">
            <v>41382</v>
          </cell>
          <cell r="F1763" t="str">
            <v>TIER 3</v>
          </cell>
          <cell r="G1763" t="str">
            <v>UNSKILLED</v>
          </cell>
          <cell r="H1763">
            <v>450</v>
          </cell>
          <cell r="I1763">
            <v>40725</v>
          </cell>
        </row>
        <row r="1764">
          <cell r="A1764" t="str">
            <v>SRI MANISAH BINTI MOHAMED ALI</v>
          </cell>
          <cell r="B1764" t="str">
            <v>4 03838756</v>
          </cell>
          <cell r="C1764">
            <v>40723</v>
          </cell>
          <cell r="D1764" t="str">
            <v>WP APPROVED</v>
          </cell>
          <cell r="F1764" t="str">
            <v>TIER 3</v>
          </cell>
          <cell r="G1764" t="str">
            <v>UNSKILLED</v>
          </cell>
          <cell r="H1764">
            <v>450</v>
          </cell>
          <cell r="I1764">
            <v>40725</v>
          </cell>
        </row>
        <row r="1765">
          <cell r="A1765" t="str">
            <v>SUBASHINI A/P KERISHNA</v>
          </cell>
          <cell r="B1765" t="str">
            <v>4 03666033</v>
          </cell>
          <cell r="C1765">
            <v>40595</v>
          </cell>
          <cell r="D1765" t="str">
            <v>WP LIVE</v>
          </cell>
          <cell r="E1765">
            <v>41241</v>
          </cell>
          <cell r="F1765" t="str">
            <v>TIER 3</v>
          </cell>
          <cell r="G1765" t="str">
            <v>UNSKILLED</v>
          </cell>
          <cell r="H1765">
            <v>450</v>
          </cell>
          <cell r="I1765">
            <v>40725</v>
          </cell>
        </row>
        <row r="1766">
          <cell r="A1766" t="str">
            <v>SUBRAMANIAM A/L KANNIAH</v>
          </cell>
          <cell r="B1766" t="str">
            <v>4 03675709</v>
          </cell>
          <cell r="C1766">
            <v>40602</v>
          </cell>
          <cell r="D1766" t="str">
            <v>WP LIVE</v>
          </cell>
          <cell r="E1766">
            <v>41346</v>
          </cell>
          <cell r="F1766" t="str">
            <v>TIER 3</v>
          </cell>
          <cell r="G1766" t="str">
            <v>UNSKILLED</v>
          </cell>
          <cell r="H1766">
            <v>450</v>
          </cell>
          <cell r="I1766">
            <v>40725</v>
          </cell>
        </row>
        <row r="1767">
          <cell r="A1767" t="str">
            <v>SUBRAMANIAM A/L S APPALASAMY</v>
          </cell>
          <cell r="B1767" t="str">
            <v>4 03562440</v>
          </cell>
          <cell r="C1767">
            <v>40511</v>
          </cell>
          <cell r="D1767" t="str">
            <v>WP LIVE</v>
          </cell>
          <cell r="E1767">
            <v>41145</v>
          </cell>
          <cell r="F1767" t="str">
            <v>TIER 3</v>
          </cell>
          <cell r="G1767" t="str">
            <v>UNSKILLED</v>
          </cell>
          <cell r="H1767">
            <v>450</v>
          </cell>
          <cell r="I1767">
            <v>40725</v>
          </cell>
        </row>
        <row r="1768">
          <cell r="A1768" t="str">
            <v>SUCILA A/P K VATHITINGAN</v>
          </cell>
          <cell r="B1768" t="str">
            <v>5 00533358</v>
          </cell>
          <cell r="C1768">
            <v>40653</v>
          </cell>
          <cell r="D1768" t="str">
            <v>WP LIVE</v>
          </cell>
          <cell r="E1768">
            <v>41275</v>
          </cell>
          <cell r="F1768" t="str">
            <v>TIER 3</v>
          </cell>
          <cell r="G1768" t="str">
            <v>UNSKILLED</v>
          </cell>
          <cell r="H1768">
            <v>450</v>
          </cell>
          <cell r="I1768">
            <v>40725</v>
          </cell>
        </row>
        <row r="1769">
          <cell r="A1769" t="str">
            <v>SUENTREN A/L RAJA SEGARAN</v>
          </cell>
          <cell r="B1769" t="str">
            <v>4 03637386</v>
          </cell>
          <cell r="C1769">
            <v>40612</v>
          </cell>
          <cell r="D1769" t="str">
            <v>WP LIVE</v>
          </cell>
          <cell r="E1769">
            <v>41248</v>
          </cell>
          <cell r="F1769" t="str">
            <v>TIER 3</v>
          </cell>
          <cell r="G1769" t="str">
            <v>UNSKILLED</v>
          </cell>
          <cell r="H1769">
            <v>450</v>
          </cell>
          <cell r="I1769">
            <v>40725</v>
          </cell>
        </row>
        <row r="1770">
          <cell r="A1770" t="str">
            <v>SUGUMARAN A/L SHAMMUGAM</v>
          </cell>
          <cell r="B1770" t="str">
            <v>4 02407182</v>
          </cell>
          <cell r="C1770">
            <v>40637</v>
          </cell>
          <cell r="D1770" t="str">
            <v>WP LIVE</v>
          </cell>
          <cell r="E1770">
            <v>41313</v>
          </cell>
          <cell r="F1770" t="str">
            <v>TIER 3</v>
          </cell>
          <cell r="G1770" t="str">
            <v>UNSKILLED</v>
          </cell>
          <cell r="H1770">
            <v>450</v>
          </cell>
          <cell r="I1770">
            <v>40725</v>
          </cell>
        </row>
        <row r="1771">
          <cell r="A1771" t="str">
            <v>SUGUNA A/P SULRMDNIE @ SUBRAMANIAM</v>
          </cell>
          <cell r="B1771" t="str">
            <v>4 03800910</v>
          </cell>
          <cell r="C1771">
            <v>40693</v>
          </cell>
          <cell r="D1771" t="str">
            <v>WP LIVE</v>
          </cell>
          <cell r="E1771">
            <v>41389</v>
          </cell>
          <cell r="F1771" t="str">
            <v>TIER 3</v>
          </cell>
          <cell r="G1771" t="str">
            <v>UNSKILLED</v>
          </cell>
          <cell r="H1771">
            <v>450</v>
          </cell>
          <cell r="I1771">
            <v>40725</v>
          </cell>
        </row>
        <row r="1772">
          <cell r="A1772" t="str">
            <v>SUGUNA DEVI A/P KRISHNAN</v>
          </cell>
          <cell r="B1772" t="str">
            <v>4 03701033</v>
          </cell>
          <cell r="C1772">
            <v>40640</v>
          </cell>
          <cell r="D1772" t="str">
            <v>WP LIVE</v>
          </cell>
          <cell r="E1772">
            <v>41384</v>
          </cell>
          <cell r="F1772" t="str">
            <v>TIER 3</v>
          </cell>
          <cell r="G1772" t="str">
            <v>UNSKILLED</v>
          </cell>
          <cell r="H1772">
            <v>450</v>
          </cell>
          <cell r="I1772">
            <v>40725</v>
          </cell>
        </row>
        <row r="1773">
          <cell r="A1773" t="str">
            <v>SUJANDRAN A/L NARAINAN</v>
          </cell>
          <cell r="B1773" t="str">
            <v>4 02537957</v>
          </cell>
          <cell r="C1773">
            <v>40647</v>
          </cell>
          <cell r="D1773" t="str">
            <v>WP LIVE</v>
          </cell>
          <cell r="E1773">
            <v>41005</v>
          </cell>
          <cell r="F1773" t="str">
            <v>TIER 3</v>
          </cell>
          <cell r="G1773" t="str">
            <v>UNSKILLED</v>
          </cell>
          <cell r="H1773">
            <v>450</v>
          </cell>
          <cell r="I1773">
            <v>40725</v>
          </cell>
        </row>
        <row r="1774">
          <cell r="A1774" t="str">
            <v>SULAIMAN BIN KAMAL</v>
          </cell>
          <cell r="B1774" t="str">
            <v>4 02832185</v>
          </cell>
          <cell r="C1774">
            <v>40700</v>
          </cell>
          <cell r="D1774" t="str">
            <v>WP LIVE</v>
          </cell>
          <cell r="E1774">
            <v>41334</v>
          </cell>
          <cell r="F1774" t="str">
            <v>TIER 3</v>
          </cell>
          <cell r="G1774" t="str">
            <v>UNSKILLED</v>
          </cell>
          <cell r="H1774">
            <v>450</v>
          </cell>
          <cell r="I1774">
            <v>40725</v>
          </cell>
        </row>
        <row r="1775">
          <cell r="A1775" t="str">
            <v>SUMARNIE BINTI SULAIMAN</v>
          </cell>
          <cell r="B1775" t="str">
            <v>4 03754455</v>
          </cell>
          <cell r="C1775">
            <v>40654</v>
          </cell>
          <cell r="D1775" t="str">
            <v>WP LIVE</v>
          </cell>
          <cell r="E1775">
            <v>41353</v>
          </cell>
          <cell r="F1775" t="str">
            <v>TIER 3</v>
          </cell>
          <cell r="G1775" t="str">
            <v>UNSKILLED</v>
          </cell>
          <cell r="H1775">
            <v>450</v>
          </cell>
          <cell r="I1775">
            <v>40725</v>
          </cell>
        </row>
        <row r="1776">
          <cell r="A1776" t="str">
            <v>SUMATHI A/P PONNUSAMY</v>
          </cell>
          <cell r="B1776" t="str">
            <v>5 26969383</v>
          </cell>
          <cell r="C1776">
            <v>40591</v>
          </cell>
          <cell r="D1776" t="str">
            <v>WP LIVE</v>
          </cell>
          <cell r="E1776">
            <v>41253</v>
          </cell>
          <cell r="F1776" t="str">
            <v>TIER 3</v>
          </cell>
          <cell r="G1776" t="str">
            <v>UNSKILLED</v>
          </cell>
          <cell r="H1776">
            <v>450</v>
          </cell>
          <cell r="I1776">
            <v>40725</v>
          </cell>
        </row>
        <row r="1777">
          <cell r="A1777" t="str">
            <v>SUMATHI A/P R THIGARAJOO</v>
          </cell>
          <cell r="B1777" t="str">
            <v>4 03643548</v>
          </cell>
          <cell r="C1777">
            <v>40603</v>
          </cell>
          <cell r="D1777" t="str">
            <v>WP LIVE</v>
          </cell>
          <cell r="E1777">
            <v>41255</v>
          </cell>
          <cell r="F1777" t="str">
            <v>TIER 3</v>
          </cell>
          <cell r="G1777" t="str">
            <v>UNSKILLED</v>
          </cell>
          <cell r="H1777">
            <v>450</v>
          </cell>
          <cell r="I1777">
            <v>40725</v>
          </cell>
        </row>
        <row r="1778">
          <cell r="A1778" t="str">
            <v>SUN LILING</v>
          </cell>
          <cell r="B1778" t="str">
            <v>0 74505392</v>
          </cell>
          <cell r="C1778">
            <v>40709</v>
          </cell>
          <cell r="D1778" t="str">
            <v>WP APPROVED</v>
          </cell>
          <cell r="F1778" t="str">
            <v>TIER 3</v>
          </cell>
          <cell r="G1778" t="str">
            <v>UNSKILLED</v>
          </cell>
          <cell r="H1778">
            <v>450</v>
          </cell>
          <cell r="I1778">
            <v>40725</v>
          </cell>
        </row>
        <row r="1779">
          <cell r="A1779" t="str">
            <v>SUN XIAOYUN</v>
          </cell>
          <cell r="B1779" t="str">
            <v>0 74505368</v>
          </cell>
          <cell r="C1779">
            <v>40709</v>
          </cell>
          <cell r="D1779" t="str">
            <v>WP APPROVED</v>
          </cell>
          <cell r="F1779" t="str">
            <v>TIER 3</v>
          </cell>
          <cell r="G1779" t="str">
            <v>UNSKILLED</v>
          </cell>
          <cell r="H1779">
            <v>450</v>
          </cell>
          <cell r="I1779">
            <v>40725</v>
          </cell>
        </row>
        <row r="1780">
          <cell r="A1780" t="str">
            <v>SUN ZHENG</v>
          </cell>
          <cell r="B1780" t="str">
            <v>0 74521975</v>
          </cell>
          <cell r="C1780">
            <v>40722</v>
          </cell>
          <cell r="D1780" t="str">
            <v>WP APPROVED</v>
          </cell>
          <cell r="F1780" t="str">
            <v>TIER 3</v>
          </cell>
          <cell r="G1780" t="str">
            <v>UNSKILLED</v>
          </cell>
          <cell r="H1780">
            <v>450</v>
          </cell>
          <cell r="I1780">
            <v>40725</v>
          </cell>
        </row>
        <row r="1781">
          <cell r="A1781" t="str">
            <v>SUNITHA A/P VENGKITARAMAN</v>
          </cell>
          <cell r="B1781" t="str">
            <v>4 03698040</v>
          </cell>
          <cell r="C1781">
            <v>40666</v>
          </cell>
          <cell r="D1781" t="str">
            <v>WP LIVE</v>
          </cell>
          <cell r="E1781">
            <v>41314</v>
          </cell>
          <cell r="F1781" t="str">
            <v>TIER 3</v>
          </cell>
          <cell r="G1781" t="str">
            <v>UNSKILLED</v>
          </cell>
          <cell r="H1781">
            <v>450</v>
          </cell>
          <cell r="I1781">
            <v>40725</v>
          </cell>
        </row>
        <row r="1782">
          <cell r="A1782" t="str">
            <v>SUNTARI A/P BATUMALAI</v>
          </cell>
          <cell r="B1782" t="str">
            <v>4 0325973-</v>
          </cell>
          <cell r="C1782">
            <v>40673</v>
          </cell>
          <cell r="D1782" t="str">
            <v>WP LIVE</v>
          </cell>
          <cell r="E1782">
            <v>41383</v>
          </cell>
          <cell r="F1782" t="str">
            <v>TIER 3</v>
          </cell>
          <cell r="G1782" t="str">
            <v>UNSKILLED</v>
          </cell>
          <cell r="H1782">
            <v>450</v>
          </cell>
          <cell r="I1782">
            <v>40725</v>
          </cell>
        </row>
        <row r="1783">
          <cell r="A1783" t="str">
            <v>SUNTHARI A/P PALANI VELU</v>
          </cell>
          <cell r="B1783" t="str">
            <v>4 02445637</v>
          </cell>
          <cell r="C1783">
            <v>40583</v>
          </cell>
          <cell r="D1783" t="str">
            <v>WP LIVE</v>
          </cell>
          <cell r="E1783">
            <v>41321</v>
          </cell>
          <cell r="F1783" t="str">
            <v>TIER 3</v>
          </cell>
          <cell r="G1783" t="str">
            <v>UNSKILLED</v>
          </cell>
          <cell r="H1783">
            <v>450</v>
          </cell>
          <cell r="I1783">
            <v>40725</v>
          </cell>
        </row>
        <row r="1784">
          <cell r="A1784" t="str">
            <v>SUPAMA A/P MUNUSAMY</v>
          </cell>
          <cell r="B1784" t="str">
            <v>5 29101066</v>
          </cell>
          <cell r="C1784">
            <v>40721</v>
          </cell>
          <cell r="D1784" t="str">
            <v>WP APPROVED</v>
          </cell>
          <cell r="F1784" t="str">
            <v>TIER 3</v>
          </cell>
          <cell r="G1784" t="str">
            <v>UNSKILLED</v>
          </cell>
          <cell r="H1784">
            <v>450</v>
          </cell>
          <cell r="I1784">
            <v>40725</v>
          </cell>
        </row>
        <row r="1785">
          <cell r="A1785" t="str">
            <v>SUPLA LETCHMY A/P VADIVELOO</v>
          </cell>
          <cell r="B1785" t="str">
            <v>3 63272479</v>
          </cell>
          <cell r="C1785">
            <v>40623</v>
          </cell>
          <cell r="D1785" t="str">
            <v>WP LIVE</v>
          </cell>
          <cell r="E1785">
            <v>41208</v>
          </cell>
          <cell r="F1785" t="str">
            <v>TIER 3</v>
          </cell>
          <cell r="G1785" t="str">
            <v>UNSKILLED</v>
          </cell>
          <cell r="H1785">
            <v>450</v>
          </cell>
          <cell r="I1785">
            <v>40725</v>
          </cell>
        </row>
        <row r="1786">
          <cell r="A1786" t="str">
            <v>SUREH KUMAR A/L RAMASAMY</v>
          </cell>
          <cell r="B1786" t="str">
            <v>4 03483052</v>
          </cell>
          <cell r="C1786">
            <v>40674</v>
          </cell>
          <cell r="D1786" t="str">
            <v>WP LIVE</v>
          </cell>
          <cell r="E1786">
            <v>41036</v>
          </cell>
          <cell r="F1786" t="str">
            <v>TIER 3</v>
          </cell>
          <cell r="G1786" t="str">
            <v>UNSKILLED</v>
          </cell>
          <cell r="H1786">
            <v>450</v>
          </cell>
          <cell r="I1786">
            <v>40725</v>
          </cell>
        </row>
        <row r="1787">
          <cell r="A1787" t="str">
            <v>SURESH A/L SUBRAMANIAM</v>
          </cell>
          <cell r="B1787" t="str">
            <v>4 01678832</v>
          </cell>
          <cell r="C1787">
            <v>40661</v>
          </cell>
          <cell r="D1787" t="str">
            <v>WP LIVE</v>
          </cell>
          <cell r="E1787">
            <v>41354</v>
          </cell>
          <cell r="F1787" t="str">
            <v>TIER 3</v>
          </cell>
          <cell r="G1787" t="str">
            <v>UNSKILLED</v>
          </cell>
          <cell r="H1787">
            <v>450</v>
          </cell>
          <cell r="I1787">
            <v>40661</v>
          </cell>
        </row>
        <row r="1788">
          <cell r="A1788" t="str">
            <v>SURESHKUMAR A/L SIVALINGAM</v>
          </cell>
          <cell r="B1788" t="str">
            <v>4 0355698-</v>
          </cell>
          <cell r="C1788">
            <v>40627</v>
          </cell>
          <cell r="D1788" t="str">
            <v>WP LIVE</v>
          </cell>
          <cell r="E1788">
            <v>41282</v>
          </cell>
          <cell r="F1788" t="str">
            <v>TIER 3</v>
          </cell>
          <cell r="G1788" t="str">
            <v>UNSKILLED</v>
          </cell>
          <cell r="H1788">
            <v>450</v>
          </cell>
          <cell r="I1788">
            <v>40725</v>
          </cell>
        </row>
        <row r="1789">
          <cell r="A1789" t="str">
            <v>SURIAMALAR A/P SUPPIAH</v>
          </cell>
          <cell r="B1789" t="str">
            <v>5 37532890</v>
          </cell>
          <cell r="C1789">
            <v>40676</v>
          </cell>
          <cell r="D1789" t="str">
            <v>WP LIVE</v>
          </cell>
          <cell r="E1789">
            <v>41376</v>
          </cell>
          <cell r="F1789" t="str">
            <v>TIER 3</v>
          </cell>
          <cell r="G1789" t="str">
            <v>UNSKILLED</v>
          </cell>
          <cell r="H1789">
            <v>450</v>
          </cell>
          <cell r="I1789">
            <v>40725</v>
          </cell>
        </row>
        <row r="1790">
          <cell r="A1790" t="str">
            <v>SURIANA BINTI RAMLI</v>
          </cell>
          <cell r="B1790" t="str">
            <v>4 03820563</v>
          </cell>
          <cell r="C1790">
            <v>40708</v>
          </cell>
          <cell r="D1790" t="str">
            <v>WP LIVE</v>
          </cell>
          <cell r="E1790">
            <v>41401</v>
          </cell>
          <cell r="F1790" t="str">
            <v>TIER 3</v>
          </cell>
          <cell r="G1790" t="str">
            <v>UNSKILLED</v>
          </cell>
          <cell r="H1790">
            <v>450</v>
          </cell>
          <cell r="I1790">
            <v>40725</v>
          </cell>
        </row>
        <row r="1791">
          <cell r="A1791" t="str">
            <v>SUTHAGAR A/L KUMARAN</v>
          </cell>
          <cell r="B1791" t="str">
            <v>4 00287422</v>
          </cell>
          <cell r="C1791">
            <v>40637</v>
          </cell>
          <cell r="D1791" t="str">
            <v>WP LIVE</v>
          </cell>
          <cell r="E1791">
            <v>41302</v>
          </cell>
          <cell r="F1791" t="str">
            <v>TIER 3</v>
          </cell>
          <cell r="G1791" t="str">
            <v>UNSKILLED</v>
          </cell>
          <cell r="H1791">
            <v>450</v>
          </cell>
          <cell r="I1791">
            <v>40725</v>
          </cell>
        </row>
        <row r="1792">
          <cell r="A1792" t="str">
            <v>SUTHAKAR A/L D JEYAMORGAN</v>
          </cell>
          <cell r="B1792" t="str">
            <v>4 03526401</v>
          </cell>
          <cell r="C1792">
            <v>40674</v>
          </cell>
          <cell r="D1792" t="str">
            <v>WP LIVE</v>
          </cell>
          <cell r="E1792">
            <v>41416</v>
          </cell>
          <cell r="F1792" t="str">
            <v>TIER 3</v>
          </cell>
          <cell r="G1792" t="str">
            <v>UNSKILLED</v>
          </cell>
          <cell r="H1792">
            <v>450</v>
          </cell>
          <cell r="I1792">
            <v>40725</v>
          </cell>
        </row>
        <row r="1793">
          <cell r="A1793" t="str">
            <v>SUZANA BINTI ZULKIFLI</v>
          </cell>
          <cell r="B1793" t="str">
            <v>4 03670685</v>
          </cell>
          <cell r="C1793">
            <v>40597</v>
          </cell>
          <cell r="D1793" t="str">
            <v>WP LIVE</v>
          </cell>
          <cell r="E1793">
            <v>40991</v>
          </cell>
          <cell r="F1793" t="str">
            <v>TIER 3</v>
          </cell>
          <cell r="G1793" t="str">
            <v>UNSKILLED</v>
          </cell>
          <cell r="H1793">
            <v>450</v>
          </cell>
          <cell r="I1793">
            <v>40725</v>
          </cell>
        </row>
        <row r="1794">
          <cell r="A1794" t="str">
            <v>SUZILA A/P SAMIKANNU</v>
          </cell>
          <cell r="B1794" t="str">
            <v>3 82571509</v>
          </cell>
          <cell r="C1794">
            <v>40658</v>
          </cell>
          <cell r="D1794" t="str">
            <v>WP LIVE</v>
          </cell>
          <cell r="E1794">
            <v>41293</v>
          </cell>
          <cell r="F1794" t="str">
            <v>TIER 3</v>
          </cell>
          <cell r="G1794" t="str">
            <v>UNSKILLED</v>
          </cell>
          <cell r="H1794">
            <v>450</v>
          </cell>
          <cell r="I1794">
            <v>40725</v>
          </cell>
        </row>
        <row r="1795">
          <cell r="A1795" t="str">
            <v>T G VASAKI A/P RAMACHANDRAN</v>
          </cell>
          <cell r="B1795" t="str">
            <v>4 0383078-</v>
          </cell>
          <cell r="C1795">
            <v>40717</v>
          </cell>
          <cell r="D1795" t="str">
            <v>WP APPROVED</v>
          </cell>
          <cell r="F1795" t="str">
            <v>TIER 3</v>
          </cell>
          <cell r="G1795" t="str">
            <v>UNSKILLED</v>
          </cell>
          <cell r="H1795">
            <v>450</v>
          </cell>
          <cell r="I1795">
            <v>40725</v>
          </cell>
        </row>
        <row r="1796">
          <cell r="A1796" t="str">
            <v>TAM LEE CHENG</v>
          </cell>
          <cell r="B1796" t="str">
            <v>3 70301727</v>
          </cell>
          <cell r="C1796">
            <v>40507</v>
          </cell>
          <cell r="D1796" t="str">
            <v>WP LIVE</v>
          </cell>
          <cell r="E1796">
            <v>41185</v>
          </cell>
          <cell r="F1796" t="str">
            <v>TIER 3</v>
          </cell>
          <cell r="G1796" t="str">
            <v>UNSKILLED</v>
          </cell>
          <cell r="H1796">
            <v>450</v>
          </cell>
          <cell r="I1796">
            <v>40507</v>
          </cell>
        </row>
        <row r="1797">
          <cell r="A1797" t="str">
            <v>TAMIL SELVI A/P MUNIANDY</v>
          </cell>
          <cell r="B1797" t="str">
            <v>5 25863441</v>
          </cell>
          <cell r="C1797">
            <v>40709</v>
          </cell>
          <cell r="D1797" t="str">
            <v>WP APPROVED</v>
          </cell>
          <cell r="F1797" t="str">
            <v>TIER 3</v>
          </cell>
          <cell r="G1797" t="str">
            <v>UNSKILLED</v>
          </cell>
          <cell r="H1797">
            <v>450</v>
          </cell>
          <cell r="I1797">
            <v>40725</v>
          </cell>
        </row>
        <row r="1798">
          <cell r="A1798" t="str">
            <v>TAMILE ARASE KARUPPIAH</v>
          </cell>
          <cell r="B1798" t="str">
            <v>5 26826035</v>
          </cell>
          <cell r="C1798">
            <v>40716</v>
          </cell>
          <cell r="D1798" t="str">
            <v>WP APPROVED</v>
          </cell>
          <cell r="F1798" t="str">
            <v>TIER 3</v>
          </cell>
          <cell r="G1798" t="str">
            <v>UNSKILLED</v>
          </cell>
          <cell r="H1798">
            <v>450</v>
          </cell>
          <cell r="I1798">
            <v>40725</v>
          </cell>
        </row>
        <row r="1799">
          <cell r="A1799" t="str">
            <v>TAMILSALWY A/P MANIKAM</v>
          </cell>
          <cell r="B1799" t="str">
            <v>5 13373937</v>
          </cell>
          <cell r="C1799">
            <v>40683</v>
          </cell>
          <cell r="D1799" t="str">
            <v>WP LIVE</v>
          </cell>
          <cell r="E1799">
            <v>41312</v>
          </cell>
          <cell r="F1799" t="str">
            <v>TIER 3</v>
          </cell>
          <cell r="G1799" t="str">
            <v>UNSKILLED</v>
          </cell>
          <cell r="H1799">
            <v>450</v>
          </cell>
          <cell r="I1799">
            <v>40725</v>
          </cell>
        </row>
        <row r="1800">
          <cell r="A1800" t="str">
            <v>TAMILSELVAM A/L MUNUSAMY</v>
          </cell>
          <cell r="B1800" t="str">
            <v>4 03318442</v>
          </cell>
          <cell r="C1800">
            <v>40708</v>
          </cell>
          <cell r="D1800" t="str">
            <v>WP APPROVED</v>
          </cell>
          <cell r="F1800" t="str">
            <v>TIER 3</v>
          </cell>
          <cell r="G1800" t="str">
            <v>UNSKILLED</v>
          </cell>
          <cell r="H1800">
            <v>450</v>
          </cell>
          <cell r="I1800">
            <v>40725</v>
          </cell>
        </row>
        <row r="1801">
          <cell r="A1801" t="str">
            <v>TAMILSELVAM A/L PONNIAH</v>
          </cell>
          <cell r="B1801" t="str">
            <v>4 03630217</v>
          </cell>
          <cell r="C1801">
            <v>40583</v>
          </cell>
          <cell r="D1801" t="str">
            <v>WP LIVE</v>
          </cell>
          <cell r="E1801">
            <v>41319</v>
          </cell>
          <cell r="F1801" t="str">
            <v>TIER 3</v>
          </cell>
          <cell r="G1801" t="str">
            <v>UNSKILLED</v>
          </cell>
          <cell r="H1801">
            <v>450</v>
          </cell>
          <cell r="I1801">
            <v>40725</v>
          </cell>
        </row>
        <row r="1802">
          <cell r="A1802" t="str">
            <v>TAMILSELVI A/P RAMA CHENDERA</v>
          </cell>
          <cell r="B1802" t="str">
            <v>4 03748528</v>
          </cell>
          <cell r="C1802">
            <v>40651</v>
          </cell>
          <cell r="D1802" t="str">
            <v>WP LIVE</v>
          </cell>
          <cell r="E1802">
            <v>41314</v>
          </cell>
          <cell r="F1802" t="str">
            <v>TIER 3</v>
          </cell>
          <cell r="G1802" t="str">
            <v>UNSKILLED</v>
          </cell>
          <cell r="H1802">
            <v>450</v>
          </cell>
          <cell r="I1802">
            <v>40725</v>
          </cell>
        </row>
        <row r="1803">
          <cell r="A1803" t="str">
            <v>TAMLEVANAN A/L PETHAN</v>
          </cell>
          <cell r="B1803" t="str">
            <v>5 37732296</v>
          </cell>
          <cell r="C1803">
            <v>40717</v>
          </cell>
          <cell r="D1803" t="str">
            <v>WP APPROVED</v>
          </cell>
          <cell r="F1803" t="str">
            <v>TIER 3</v>
          </cell>
          <cell r="G1803" t="str">
            <v>UNSKILLED</v>
          </cell>
          <cell r="H1803">
            <v>450</v>
          </cell>
          <cell r="I1803">
            <v>40725</v>
          </cell>
        </row>
        <row r="1804">
          <cell r="A1804" t="str">
            <v>TAN MUI CHOO</v>
          </cell>
          <cell r="B1804" t="str">
            <v>5 05221044</v>
          </cell>
          <cell r="C1804">
            <v>40599</v>
          </cell>
          <cell r="D1804" t="str">
            <v>WP LIVE</v>
          </cell>
          <cell r="E1804">
            <v>41039</v>
          </cell>
          <cell r="F1804" t="str">
            <v>TIER 3</v>
          </cell>
          <cell r="G1804" t="str">
            <v>UNSKILLED</v>
          </cell>
          <cell r="H1804">
            <v>450</v>
          </cell>
          <cell r="I1804">
            <v>40725</v>
          </cell>
        </row>
        <row r="1805">
          <cell r="A1805" t="str">
            <v>TAN SZU LUI</v>
          </cell>
          <cell r="B1805" t="str">
            <v>4 03660396</v>
          </cell>
          <cell r="C1805">
            <v>40714</v>
          </cell>
          <cell r="D1805" t="str">
            <v>WP LIVE</v>
          </cell>
          <cell r="E1805">
            <v>41041</v>
          </cell>
          <cell r="F1805" t="str">
            <v>TIER 3</v>
          </cell>
          <cell r="G1805" t="str">
            <v>UNSKILLED</v>
          </cell>
          <cell r="H1805">
            <v>450</v>
          </cell>
          <cell r="I1805">
            <v>40725</v>
          </cell>
        </row>
        <row r="1806">
          <cell r="A1806" t="str">
            <v>TAO FENGQIN</v>
          </cell>
          <cell r="B1806" t="str">
            <v>0 74287050</v>
          </cell>
          <cell r="C1806">
            <v>40575</v>
          </cell>
          <cell r="D1806" t="str">
            <v>WP LIVE</v>
          </cell>
          <cell r="E1806">
            <v>41319</v>
          </cell>
          <cell r="F1806" t="str">
            <v>TIER 3</v>
          </cell>
          <cell r="G1806" t="str">
            <v>UNSKILLED</v>
          </cell>
          <cell r="H1806">
            <v>450</v>
          </cell>
          <cell r="I1806">
            <v>40725</v>
          </cell>
        </row>
        <row r="1807">
          <cell r="A1807" t="str">
            <v>TAO SHI TING</v>
          </cell>
          <cell r="B1807" t="str">
            <v>0 74277276</v>
          </cell>
          <cell r="C1807">
            <v>40567</v>
          </cell>
          <cell r="D1807" t="str">
            <v>WP LIVE</v>
          </cell>
          <cell r="E1807">
            <v>41298</v>
          </cell>
          <cell r="F1807" t="str">
            <v>TIER 3</v>
          </cell>
          <cell r="G1807" t="str">
            <v>UNSKILLED</v>
          </cell>
          <cell r="H1807">
            <v>450</v>
          </cell>
          <cell r="I1807">
            <v>40725</v>
          </cell>
        </row>
        <row r="1808">
          <cell r="A1808" t="str">
            <v>TAO YANBIN</v>
          </cell>
          <cell r="B1808" t="str">
            <v>0 74478867</v>
          </cell>
          <cell r="C1808">
            <v>40694</v>
          </cell>
          <cell r="D1808" t="str">
            <v>WP LIVE</v>
          </cell>
          <cell r="E1808">
            <v>41426</v>
          </cell>
          <cell r="F1808" t="str">
            <v>TIER 3</v>
          </cell>
          <cell r="G1808" t="str">
            <v>UNSKILLED</v>
          </cell>
          <cell r="H1808">
            <v>450</v>
          </cell>
          <cell r="I1808">
            <v>40725</v>
          </cell>
        </row>
        <row r="1809">
          <cell r="A1809" t="str">
            <v>TAY BEE NGO</v>
          </cell>
          <cell r="B1809" t="str">
            <v>5 25620514</v>
          </cell>
          <cell r="C1809">
            <v>40540</v>
          </cell>
          <cell r="D1809" t="str">
            <v>WP LIVE</v>
          </cell>
          <cell r="E1809">
            <v>41228</v>
          </cell>
          <cell r="F1809" t="str">
            <v>TIER 3</v>
          </cell>
          <cell r="G1809" t="str">
            <v>UNSKILLED</v>
          </cell>
          <cell r="H1809">
            <v>450</v>
          </cell>
          <cell r="I1809">
            <v>40725</v>
          </cell>
        </row>
        <row r="1810">
          <cell r="A1810" t="str">
            <v>TEE SUAT HWEE</v>
          </cell>
          <cell r="B1810" t="str">
            <v>3 59717148</v>
          </cell>
          <cell r="C1810">
            <v>40658</v>
          </cell>
          <cell r="D1810" t="str">
            <v>WP LIVE</v>
          </cell>
          <cell r="E1810">
            <v>41403</v>
          </cell>
          <cell r="F1810" t="str">
            <v>TIER 3</v>
          </cell>
          <cell r="G1810" t="str">
            <v>UNSKILLED</v>
          </cell>
          <cell r="H1810">
            <v>450</v>
          </cell>
          <cell r="I1810">
            <v>40725</v>
          </cell>
        </row>
        <row r="1811">
          <cell r="A1811" t="str">
            <v>TEO KWEE LAN</v>
          </cell>
          <cell r="B1811" t="str">
            <v>3 71043470</v>
          </cell>
          <cell r="C1811">
            <v>40714</v>
          </cell>
          <cell r="D1811" t="str">
            <v>WP LIVE</v>
          </cell>
          <cell r="E1811">
            <v>41184</v>
          </cell>
          <cell r="F1811" t="str">
            <v>TIER 3</v>
          </cell>
          <cell r="G1811" t="str">
            <v>UNSKILLED</v>
          </cell>
          <cell r="H1811">
            <v>450</v>
          </cell>
          <cell r="I1811">
            <v>40725</v>
          </cell>
        </row>
        <row r="1812">
          <cell r="A1812" t="str">
            <v>TEO LEONG SING</v>
          </cell>
          <cell r="B1812" t="str">
            <v>3 61158806</v>
          </cell>
          <cell r="C1812">
            <v>40583</v>
          </cell>
          <cell r="D1812" t="str">
            <v>WP LIVE</v>
          </cell>
          <cell r="E1812">
            <v>41039</v>
          </cell>
          <cell r="F1812" t="str">
            <v>TIER 3</v>
          </cell>
          <cell r="G1812" t="str">
            <v>UNSKILLED</v>
          </cell>
          <cell r="H1812">
            <v>450</v>
          </cell>
          <cell r="I1812">
            <v>40725</v>
          </cell>
        </row>
        <row r="1813">
          <cell r="A1813" t="str">
            <v>THANALECHUMI A/P RENGASAMY</v>
          </cell>
          <cell r="B1813" t="str">
            <v>3 72319488</v>
          </cell>
          <cell r="C1813">
            <v>40645</v>
          </cell>
          <cell r="D1813" t="str">
            <v>WP LIVE</v>
          </cell>
          <cell r="E1813">
            <v>41308</v>
          </cell>
          <cell r="F1813" t="str">
            <v>TIER 3</v>
          </cell>
          <cell r="G1813" t="str">
            <v>UNSKILLED</v>
          </cell>
          <cell r="H1813">
            <v>450</v>
          </cell>
          <cell r="I1813">
            <v>40725</v>
          </cell>
        </row>
        <row r="1814">
          <cell r="A1814" t="str">
            <v>THANALETCHEMY A/P LETCHUMANAN</v>
          </cell>
          <cell r="B1814" t="str">
            <v>4 02688327</v>
          </cell>
          <cell r="C1814">
            <v>40529</v>
          </cell>
          <cell r="D1814" t="str">
            <v>WP LIVE</v>
          </cell>
          <cell r="E1814">
            <v>40991</v>
          </cell>
          <cell r="F1814" t="str">
            <v>TIER 3</v>
          </cell>
          <cell r="G1814" t="str">
            <v>UNSKILLED</v>
          </cell>
          <cell r="H1814">
            <v>450</v>
          </cell>
          <cell r="I1814">
            <v>40725</v>
          </cell>
        </row>
        <row r="1815">
          <cell r="A1815" t="str">
            <v>THANAM A/P SUBRAMANIAM</v>
          </cell>
          <cell r="B1815" t="str">
            <v>5 34303300</v>
          </cell>
          <cell r="C1815">
            <v>40627</v>
          </cell>
          <cell r="D1815" t="str">
            <v>WP LIVE</v>
          </cell>
          <cell r="E1815">
            <v>41308</v>
          </cell>
          <cell r="F1815" t="str">
            <v>TIER 3</v>
          </cell>
          <cell r="G1815" t="str">
            <v>UNSKILLED</v>
          </cell>
          <cell r="H1815">
            <v>450</v>
          </cell>
          <cell r="I1815">
            <v>40725</v>
          </cell>
        </row>
        <row r="1816">
          <cell r="A1816" t="str">
            <v>THANGAMALAR A/P M RAMAN</v>
          </cell>
          <cell r="B1816" t="str">
            <v>5 1536448-</v>
          </cell>
          <cell r="C1816">
            <v>40683</v>
          </cell>
          <cell r="D1816" t="str">
            <v>WP LIVE</v>
          </cell>
          <cell r="E1816">
            <v>41430</v>
          </cell>
          <cell r="F1816" t="str">
            <v>TIER 3</v>
          </cell>
          <cell r="G1816" t="str">
            <v>UNSKILLED</v>
          </cell>
          <cell r="H1816">
            <v>450</v>
          </cell>
          <cell r="I1816">
            <v>40725</v>
          </cell>
        </row>
        <row r="1817">
          <cell r="A1817" t="str">
            <v>THAVAMALAR A/P MANOHARAN</v>
          </cell>
          <cell r="B1817" t="str">
            <v>4 0252135-</v>
          </cell>
          <cell r="C1817">
            <v>40726</v>
          </cell>
          <cell r="D1817" t="str">
            <v>WP APPROVED</v>
          </cell>
          <cell r="F1817" t="str">
            <v>TIER 3</v>
          </cell>
          <cell r="G1817" t="str">
            <v>SKILLED</v>
          </cell>
          <cell r="H1817">
            <v>450</v>
          </cell>
          <cell r="I1817">
            <v>40726</v>
          </cell>
        </row>
        <row r="1818">
          <cell r="A1818" t="str">
            <v>THAYAR A/P SUBRAMANIAN</v>
          </cell>
          <cell r="B1818" t="str">
            <v>3 81937321</v>
          </cell>
          <cell r="C1818">
            <v>40612</v>
          </cell>
          <cell r="D1818" t="str">
            <v>WP LIVE</v>
          </cell>
          <cell r="E1818">
            <v>40969</v>
          </cell>
          <cell r="F1818" t="str">
            <v>TIER 3</v>
          </cell>
          <cell r="G1818" t="str">
            <v>UNSKILLED</v>
          </cell>
          <cell r="H1818">
            <v>450</v>
          </cell>
          <cell r="I1818">
            <v>40725</v>
          </cell>
        </row>
        <row r="1819">
          <cell r="A1819" t="str">
            <v>THEAN MOLI A/P MARUDDAPPAN</v>
          </cell>
          <cell r="B1819" t="str">
            <v>4 03144746</v>
          </cell>
          <cell r="C1819">
            <v>40651</v>
          </cell>
          <cell r="D1819" t="str">
            <v>WP LIVE</v>
          </cell>
          <cell r="E1819">
            <v>41398</v>
          </cell>
          <cell r="F1819" t="str">
            <v>TIER 3</v>
          </cell>
          <cell r="G1819" t="str">
            <v>UNSKILLED</v>
          </cell>
          <cell r="H1819">
            <v>450</v>
          </cell>
          <cell r="I1819">
            <v>40725</v>
          </cell>
        </row>
        <row r="1820">
          <cell r="A1820" t="str">
            <v>THEIVANAI A/P S SINNIAH</v>
          </cell>
          <cell r="B1820" t="str">
            <v>5 14516960</v>
          </cell>
          <cell r="C1820">
            <v>40708</v>
          </cell>
          <cell r="D1820" t="str">
            <v>WP LIVE</v>
          </cell>
          <cell r="E1820">
            <v>41454</v>
          </cell>
          <cell r="F1820" t="str">
            <v>TIER 3</v>
          </cell>
          <cell r="G1820" t="str">
            <v>UNSKILLED</v>
          </cell>
          <cell r="H1820">
            <v>450</v>
          </cell>
          <cell r="I1820">
            <v>40725</v>
          </cell>
        </row>
        <row r="1821">
          <cell r="A1821" t="str">
            <v>THERESA A/P GABRIEL</v>
          </cell>
          <cell r="B1821" t="str">
            <v>5 17372994</v>
          </cell>
          <cell r="C1821">
            <v>40549</v>
          </cell>
          <cell r="D1821" t="str">
            <v>WP LIVE</v>
          </cell>
          <cell r="E1821">
            <v>41051</v>
          </cell>
          <cell r="F1821" t="str">
            <v>TIER 3</v>
          </cell>
          <cell r="G1821" t="str">
            <v>UNSKILLED</v>
          </cell>
          <cell r="H1821">
            <v>450</v>
          </cell>
          <cell r="I1821">
            <v>40725</v>
          </cell>
        </row>
        <row r="1822">
          <cell r="A1822" t="str">
            <v>THEVAN A/L JAYERAM</v>
          </cell>
          <cell r="B1822" t="str">
            <v>4 0365793-</v>
          </cell>
          <cell r="C1822">
            <v>40588</v>
          </cell>
          <cell r="D1822" t="str">
            <v>WP LIVE</v>
          </cell>
          <cell r="E1822">
            <v>41235</v>
          </cell>
          <cell r="F1822" t="str">
            <v>TIER 3</v>
          </cell>
          <cell r="G1822" t="str">
            <v>UNSKILLED</v>
          </cell>
          <cell r="H1822">
            <v>450</v>
          </cell>
          <cell r="I1822">
            <v>40725</v>
          </cell>
        </row>
        <row r="1823">
          <cell r="A1823" t="str">
            <v>THILAGAVATHI A/P ARMUGAM</v>
          </cell>
          <cell r="B1823" t="str">
            <v>5 37706260</v>
          </cell>
          <cell r="C1823">
            <v>40688</v>
          </cell>
          <cell r="D1823" t="str">
            <v>WP LIVE</v>
          </cell>
          <cell r="E1823">
            <v>41427</v>
          </cell>
          <cell r="F1823" t="str">
            <v>TIER 3</v>
          </cell>
          <cell r="G1823" t="str">
            <v>UNSKILLED</v>
          </cell>
          <cell r="H1823">
            <v>450</v>
          </cell>
          <cell r="I1823">
            <v>40725</v>
          </cell>
        </row>
        <row r="1824">
          <cell r="A1824" t="str">
            <v>THURGA DEVI A/P KESAVAN</v>
          </cell>
          <cell r="B1824" t="str">
            <v>4 03492809</v>
          </cell>
          <cell r="C1824">
            <v>40592</v>
          </cell>
          <cell r="D1824" t="str">
            <v>WP LIVE</v>
          </cell>
          <cell r="E1824">
            <v>41341</v>
          </cell>
          <cell r="F1824" t="str">
            <v>TIER 3</v>
          </cell>
          <cell r="G1824" t="str">
            <v>UNSKILLED</v>
          </cell>
          <cell r="H1824">
            <v>450</v>
          </cell>
          <cell r="I1824">
            <v>40725</v>
          </cell>
        </row>
        <row r="1825">
          <cell r="A1825" t="str">
            <v>TILAGAM A/P SUBRAMANIAM</v>
          </cell>
          <cell r="B1825" t="str">
            <v>5 30240061</v>
          </cell>
          <cell r="C1825">
            <v>40610</v>
          </cell>
          <cell r="D1825" t="str">
            <v>WP LIVE</v>
          </cell>
          <cell r="E1825">
            <v>40840</v>
          </cell>
          <cell r="F1825" t="str">
            <v>TIER 3</v>
          </cell>
          <cell r="G1825" t="str">
            <v>UNSKILLED</v>
          </cell>
          <cell r="H1825">
            <v>450</v>
          </cell>
          <cell r="I1825">
            <v>40725</v>
          </cell>
        </row>
        <row r="1826">
          <cell r="A1826" t="str">
            <v>TILAGAVATI A/P RAMULU</v>
          </cell>
          <cell r="B1826" t="str">
            <v>4 03727040</v>
          </cell>
          <cell r="C1826">
            <v>40659</v>
          </cell>
          <cell r="D1826" t="str">
            <v>WP LIVE</v>
          </cell>
          <cell r="E1826">
            <v>41330</v>
          </cell>
          <cell r="F1826" t="str">
            <v>TIER 3</v>
          </cell>
          <cell r="G1826" t="str">
            <v>UNSKILLED</v>
          </cell>
          <cell r="H1826">
            <v>450</v>
          </cell>
          <cell r="I1826">
            <v>40725</v>
          </cell>
        </row>
        <row r="1827">
          <cell r="A1827" t="str">
            <v>TING MING HUAT</v>
          </cell>
          <cell r="B1827" t="str">
            <v>5 04958337</v>
          </cell>
          <cell r="C1827">
            <v>40632</v>
          </cell>
          <cell r="D1827" t="str">
            <v>WP LIVE</v>
          </cell>
          <cell r="E1827">
            <v>41389</v>
          </cell>
          <cell r="F1827" t="str">
            <v>TIER 3</v>
          </cell>
          <cell r="G1827" t="str">
            <v>UNSKILLED</v>
          </cell>
          <cell r="H1827">
            <v>450</v>
          </cell>
          <cell r="I1827">
            <v>40725</v>
          </cell>
        </row>
        <row r="1828">
          <cell r="A1828" t="str">
            <v>TORRIATI BINTI ABD RAHIM</v>
          </cell>
          <cell r="B1828" t="str">
            <v>5 14807345</v>
          </cell>
          <cell r="C1828">
            <v>40602</v>
          </cell>
          <cell r="D1828" t="str">
            <v>WP LIVE</v>
          </cell>
          <cell r="E1828">
            <v>40971</v>
          </cell>
          <cell r="F1828" t="str">
            <v>TIER 3</v>
          </cell>
          <cell r="G1828" t="str">
            <v>UNSKILLED</v>
          </cell>
          <cell r="H1828">
            <v>450</v>
          </cell>
          <cell r="I1828">
            <v>40725</v>
          </cell>
        </row>
        <row r="1829">
          <cell r="A1829" t="str">
            <v>UMA DEVI A/P G KRISHNASAMY</v>
          </cell>
          <cell r="B1829" t="str">
            <v>5 27262038</v>
          </cell>
          <cell r="C1829">
            <v>40540</v>
          </cell>
          <cell r="D1829" t="str">
            <v>WP LIVE</v>
          </cell>
          <cell r="E1829">
            <v>41285</v>
          </cell>
          <cell r="F1829" t="str">
            <v>TIER 3</v>
          </cell>
          <cell r="G1829" t="str">
            <v>UNSKILLED</v>
          </cell>
          <cell r="H1829">
            <v>450</v>
          </cell>
          <cell r="I1829">
            <v>40725</v>
          </cell>
        </row>
        <row r="1830">
          <cell r="A1830" t="str">
            <v>UMHAMAGESWARI A/P VELOO</v>
          </cell>
          <cell r="B1830" t="str">
            <v>5 37750790</v>
          </cell>
          <cell r="C1830">
            <v>40711</v>
          </cell>
          <cell r="D1830" t="str">
            <v>WP APPROVED</v>
          </cell>
          <cell r="F1830" t="str">
            <v>TIER 3</v>
          </cell>
          <cell r="G1830" t="str">
            <v>UNSKILLED</v>
          </cell>
          <cell r="H1830">
            <v>450</v>
          </cell>
          <cell r="I1830">
            <v>40725</v>
          </cell>
        </row>
        <row r="1831">
          <cell r="A1831" t="str">
            <v>URANI A/P KUMARAN</v>
          </cell>
          <cell r="B1831" t="str">
            <v>4 03801259</v>
          </cell>
          <cell r="C1831">
            <v>40693</v>
          </cell>
          <cell r="D1831" t="str">
            <v>WP LIVE</v>
          </cell>
          <cell r="E1831">
            <v>41369</v>
          </cell>
          <cell r="F1831" t="str">
            <v>TIER 3</v>
          </cell>
          <cell r="G1831" t="str">
            <v>UNSKILLED</v>
          </cell>
          <cell r="H1831">
            <v>450</v>
          </cell>
          <cell r="I1831">
            <v>40725</v>
          </cell>
        </row>
        <row r="1832">
          <cell r="A1832" t="str">
            <v>USHA SUBARAMANIAM</v>
          </cell>
          <cell r="B1832" t="str">
            <v>4 03757721</v>
          </cell>
          <cell r="C1832">
            <v>40717</v>
          </cell>
          <cell r="D1832" t="str">
            <v>WP APPROVED</v>
          </cell>
          <cell r="F1832" t="str">
            <v>TIER 3</v>
          </cell>
          <cell r="G1832" t="str">
            <v>UNSKILLED</v>
          </cell>
          <cell r="H1832">
            <v>450</v>
          </cell>
          <cell r="I1832">
            <v>40725</v>
          </cell>
        </row>
        <row r="1833">
          <cell r="A1833" t="str">
            <v>V SAROJA A/P VENGITARAMEN</v>
          </cell>
          <cell r="B1833" t="str">
            <v>5 00698071</v>
          </cell>
          <cell r="C1833">
            <v>40639</v>
          </cell>
          <cell r="D1833" t="str">
            <v>WP LIVE</v>
          </cell>
          <cell r="E1833">
            <v>41125</v>
          </cell>
          <cell r="F1833" t="str">
            <v>TIER 3</v>
          </cell>
          <cell r="G1833" t="str">
            <v>UNSKILLED</v>
          </cell>
          <cell r="H1833">
            <v>450</v>
          </cell>
          <cell r="I1833">
            <v>40725</v>
          </cell>
        </row>
        <row r="1834">
          <cell r="A1834" t="str">
            <v>V SHANTHI D/O VADIVELLU</v>
          </cell>
          <cell r="B1834" t="str">
            <v>5 03304058</v>
          </cell>
          <cell r="C1834">
            <v>40686</v>
          </cell>
          <cell r="D1834" t="str">
            <v>WP APPROVED</v>
          </cell>
          <cell r="F1834" t="str">
            <v>TIER 3</v>
          </cell>
          <cell r="G1834" t="str">
            <v>UNSKILLED</v>
          </cell>
          <cell r="H1834">
            <v>450</v>
          </cell>
          <cell r="I1834">
            <v>40725</v>
          </cell>
        </row>
        <row r="1835">
          <cell r="A1835" t="str">
            <v>VADAMALAI A/L MUNUSAMY</v>
          </cell>
          <cell r="B1835" t="str">
            <v>5 05927648</v>
          </cell>
          <cell r="C1835">
            <v>40652</v>
          </cell>
          <cell r="D1835" t="str">
            <v>WP LIVE</v>
          </cell>
          <cell r="E1835">
            <v>41067</v>
          </cell>
          <cell r="F1835" t="str">
            <v>TIER 3</v>
          </cell>
          <cell r="G1835" t="str">
            <v>UNSKILLED</v>
          </cell>
          <cell r="H1835">
            <v>450</v>
          </cell>
          <cell r="I1835">
            <v>40725</v>
          </cell>
        </row>
        <row r="1836">
          <cell r="A1836" t="str">
            <v>VALARMATHY A/P SINNAIH</v>
          </cell>
          <cell r="B1836" t="str">
            <v>4 03648957</v>
          </cell>
          <cell r="C1836">
            <v>40570</v>
          </cell>
          <cell r="D1836" t="str">
            <v>WP LIVE</v>
          </cell>
          <cell r="E1836">
            <v>41269</v>
          </cell>
          <cell r="F1836" t="str">
            <v>TIER 3</v>
          </cell>
          <cell r="G1836" t="str">
            <v>UNSKILLED</v>
          </cell>
          <cell r="H1836">
            <v>450</v>
          </cell>
          <cell r="I1836">
            <v>40725</v>
          </cell>
        </row>
        <row r="1837">
          <cell r="A1837" t="str">
            <v>VALLEI A/P SUPRAMANIAM</v>
          </cell>
          <cell r="B1837" t="str">
            <v>5 26900898</v>
          </cell>
          <cell r="C1837">
            <v>40718</v>
          </cell>
          <cell r="D1837" t="str">
            <v>WP APPROVED</v>
          </cell>
          <cell r="F1837" t="str">
            <v>TIER 3</v>
          </cell>
          <cell r="G1837" t="str">
            <v>UNSKILLED</v>
          </cell>
          <cell r="H1837">
            <v>450</v>
          </cell>
          <cell r="I1837">
            <v>40725</v>
          </cell>
        </row>
        <row r="1838">
          <cell r="A1838" t="str">
            <v>VANAJA A/P VIJAYAKUMAR</v>
          </cell>
          <cell r="B1838" t="str">
            <v>4 03664596</v>
          </cell>
          <cell r="C1838">
            <v>40592</v>
          </cell>
          <cell r="D1838" t="str">
            <v>WP LIVE</v>
          </cell>
          <cell r="E1838">
            <v>41285</v>
          </cell>
          <cell r="F1838" t="str">
            <v>TIER 3</v>
          </cell>
          <cell r="G1838" t="str">
            <v>UNSKILLED</v>
          </cell>
          <cell r="H1838">
            <v>450</v>
          </cell>
          <cell r="I1838">
            <v>40725</v>
          </cell>
        </row>
        <row r="1839">
          <cell r="A1839" t="str">
            <v>VASANTHI A/P THANGARAJU</v>
          </cell>
          <cell r="B1839" t="str">
            <v>5 18216449</v>
          </cell>
          <cell r="C1839">
            <v>40696</v>
          </cell>
          <cell r="D1839" t="str">
            <v>WP LIVE</v>
          </cell>
          <cell r="E1839">
            <v>40996</v>
          </cell>
          <cell r="F1839" t="str">
            <v>TIER 3</v>
          </cell>
          <cell r="G1839" t="str">
            <v>UNSKILLED</v>
          </cell>
          <cell r="H1839">
            <v>450</v>
          </cell>
          <cell r="I1839">
            <v>40725</v>
          </cell>
        </row>
        <row r="1840">
          <cell r="A1840" t="str">
            <v>VASINDAKUMARI A/P S KARDASAMY</v>
          </cell>
          <cell r="B1840" t="str">
            <v>3 63802389</v>
          </cell>
          <cell r="C1840">
            <v>40717</v>
          </cell>
          <cell r="D1840" t="str">
            <v>WP APPROVED</v>
          </cell>
          <cell r="F1840" t="str">
            <v>TIER 3</v>
          </cell>
          <cell r="G1840" t="str">
            <v>UNSKILLED</v>
          </cell>
          <cell r="H1840">
            <v>450</v>
          </cell>
          <cell r="I1840">
            <v>40725</v>
          </cell>
        </row>
        <row r="1841">
          <cell r="A1841" t="str">
            <v>VASUKI A/P G KRISHNASAMY</v>
          </cell>
          <cell r="B1841" t="str">
            <v>5 22439452</v>
          </cell>
          <cell r="C1841">
            <v>40540</v>
          </cell>
          <cell r="D1841" t="str">
            <v>WP LIVE</v>
          </cell>
          <cell r="E1841">
            <v>41285</v>
          </cell>
          <cell r="F1841" t="str">
            <v>TIER 3</v>
          </cell>
          <cell r="G1841" t="str">
            <v>UNSKILLED</v>
          </cell>
          <cell r="H1841">
            <v>450</v>
          </cell>
          <cell r="I1841">
            <v>40725</v>
          </cell>
        </row>
        <row r="1842">
          <cell r="A1842" t="str">
            <v>VASUKI A/P MURUGESU</v>
          </cell>
          <cell r="B1842" t="str">
            <v>5 25636372</v>
          </cell>
          <cell r="C1842">
            <v>40633</v>
          </cell>
          <cell r="D1842" t="str">
            <v>WP LIVE</v>
          </cell>
          <cell r="E1842">
            <v>41295</v>
          </cell>
          <cell r="F1842" t="str">
            <v>TIER 3</v>
          </cell>
          <cell r="G1842" t="str">
            <v>UNSKILLED</v>
          </cell>
          <cell r="H1842">
            <v>450</v>
          </cell>
          <cell r="I1842">
            <v>40725</v>
          </cell>
        </row>
        <row r="1843">
          <cell r="A1843" t="str">
            <v>VEERAMMAH A/P KACHINEH LETCHANAH</v>
          </cell>
          <cell r="B1843" t="str">
            <v>5 06358620</v>
          </cell>
          <cell r="C1843">
            <v>40560</v>
          </cell>
          <cell r="D1843" t="str">
            <v>WP LIVE</v>
          </cell>
          <cell r="E1843">
            <v>41246</v>
          </cell>
          <cell r="F1843" t="str">
            <v>TIER 3</v>
          </cell>
          <cell r="G1843" t="str">
            <v>UNSKILLED</v>
          </cell>
          <cell r="H1843">
            <v>450</v>
          </cell>
          <cell r="I1843">
            <v>40725</v>
          </cell>
        </row>
        <row r="1844">
          <cell r="A1844" t="str">
            <v>VELANGKANY A/P CHINNIAH</v>
          </cell>
          <cell r="B1844" t="str">
            <v>5 30845451</v>
          </cell>
          <cell r="C1844">
            <v>40666</v>
          </cell>
          <cell r="D1844" t="str">
            <v>WP LIVE</v>
          </cell>
          <cell r="E1844">
            <v>41409</v>
          </cell>
          <cell r="F1844" t="str">
            <v>TIER 3</v>
          </cell>
          <cell r="G1844" t="str">
            <v>UNSKILLED</v>
          </cell>
          <cell r="H1844">
            <v>450</v>
          </cell>
          <cell r="I1844">
            <v>40725</v>
          </cell>
        </row>
        <row r="1845">
          <cell r="A1845" t="str">
            <v>VELLAYAN A/L SUBRAMANIAM</v>
          </cell>
          <cell r="B1845" t="str">
            <v>4 01345671</v>
          </cell>
          <cell r="C1845">
            <v>40606</v>
          </cell>
          <cell r="D1845" t="str">
            <v>WP LIVE</v>
          </cell>
          <cell r="E1845">
            <v>40899</v>
          </cell>
          <cell r="F1845" t="str">
            <v>TIER 3</v>
          </cell>
          <cell r="G1845" t="str">
            <v>UNSKILLED</v>
          </cell>
          <cell r="H1845">
            <v>450</v>
          </cell>
          <cell r="I1845">
            <v>40725</v>
          </cell>
        </row>
        <row r="1846">
          <cell r="A1846" t="str">
            <v>VENI A/P VELAYUTHAM</v>
          </cell>
          <cell r="B1846" t="str">
            <v>5 13759630</v>
          </cell>
          <cell r="C1846">
            <v>40716</v>
          </cell>
          <cell r="D1846" t="str">
            <v>WP APPROVED</v>
          </cell>
          <cell r="F1846" t="str">
            <v>TIER 3</v>
          </cell>
          <cell r="G1846" t="str">
            <v>UNSKILLED</v>
          </cell>
          <cell r="H1846">
            <v>450</v>
          </cell>
          <cell r="I1846">
            <v>40725</v>
          </cell>
        </row>
        <row r="1847">
          <cell r="A1847" t="str">
            <v>VIGANES GOVAL KRISHNAN</v>
          </cell>
          <cell r="B1847" t="str">
            <v>4 03554308</v>
          </cell>
          <cell r="C1847">
            <v>40716</v>
          </cell>
          <cell r="D1847" t="str">
            <v>WP APPROVED</v>
          </cell>
          <cell r="F1847" t="str">
            <v>TIER 3</v>
          </cell>
          <cell r="G1847" t="str">
            <v>UNSKILLED</v>
          </cell>
          <cell r="H1847">
            <v>450</v>
          </cell>
          <cell r="I1847">
            <v>40725</v>
          </cell>
        </row>
        <row r="1848">
          <cell r="A1848" t="str">
            <v>VIJAYA A/P BAKAR</v>
          </cell>
          <cell r="B1848" t="str">
            <v>4 03792934</v>
          </cell>
          <cell r="C1848">
            <v>40686</v>
          </cell>
          <cell r="D1848" t="str">
            <v>WP LIVE</v>
          </cell>
          <cell r="E1848">
            <v>41355</v>
          </cell>
          <cell r="F1848" t="str">
            <v>TIER 3</v>
          </cell>
          <cell r="G1848" t="str">
            <v>UNSKILLED</v>
          </cell>
          <cell r="H1848">
            <v>450</v>
          </cell>
          <cell r="I1848">
            <v>40725</v>
          </cell>
        </row>
        <row r="1849">
          <cell r="A1849" t="str">
            <v>VIJAYA A/P SUPPIAH</v>
          </cell>
          <cell r="B1849" t="str">
            <v>5 32969018</v>
          </cell>
          <cell r="C1849">
            <v>40613</v>
          </cell>
          <cell r="D1849" t="str">
            <v>WP LIVE</v>
          </cell>
          <cell r="E1849">
            <v>41356</v>
          </cell>
          <cell r="F1849" t="str">
            <v>TIER 3</v>
          </cell>
          <cell r="G1849" t="str">
            <v>UNSKILLED</v>
          </cell>
          <cell r="H1849">
            <v>450</v>
          </cell>
          <cell r="I1849">
            <v>40725</v>
          </cell>
        </row>
        <row r="1850">
          <cell r="A1850" t="str">
            <v>VIJAYAKUMARI A/P SEKARAN</v>
          </cell>
          <cell r="B1850" t="str">
            <v>4 01073973</v>
          </cell>
          <cell r="C1850">
            <v>40535</v>
          </cell>
          <cell r="D1850" t="str">
            <v>WP LIVE</v>
          </cell>
          <cell r="E1850">
            <v>41015</v>
          </cell>
          <cell r="F1850" t="str">
            <v>TIER 3</v>
          </cell>
          <cell r="G1850" t="str">
            <v>UNSKILLED</v>
          </cell>
          <cell r="H1850">
            <v>450</v>
          </cell>
          <cell r="I1850">
            <v>40725</v>
          </cell>
        </row>
        <row r="1851">
          <cell r="A1851" t="str">
            <v>VIJAYAN A/L RAMAYYAH</v>
          </cell>
          <cell r="B1851" t="str">
            <v>4 03608300</v>
          </cell>
          <cell r="C1851">
            <v>40640</v>
          </cell>
          <cell r="D1851" t="str">
            <v>WP LIVE</v>
          </cell>
          <cell r="E1851">
            <v>41171</v>
          </cell>
          <cell r="F1851" t="str">
            <v>TIER 3</v>
          </cell>
          <cell r="G1851" t="str">
            <v>UNSKILLED</v>
          </cell>
          <cell r="H1851">
            <v>450</v>
          </cell>
          <cell r="I1851">
            <v>40725</v>
          </cell>
        </row>
        <row r="1852">
          <cell r="A1852" t="str">
            <v>VIJIYA A/P MUNIANDY</v>
          </cell>
          <cell r="B1852" t="str">
            <v>5 35336997</v>
          </cell>
          <cell r="C1852">
            <v>40654</v>
          </cell>
          <cell r="D1852" t="str">
            <v>WP LIVE</v>
          </cell>
          <cell r="E1852">
            <v>41171</v>
          </cell>
          <cell r="F1852" t="str">
            <v>TIER 3</v>
          </cell>
          <cell r="G1852" t="str">
            <v>UNSKILLED</v>
          </cell>
          <cell r="H1852">
            <v>450</v>
          </cell>
          <cell r="I1852">
            <v>40725</v>
          </cell>
        </row>
        <row r="1853">
          <cell r="A1853" t="str">
            <v>VIKNESHVARAN NAIR A/L SUKUMARAN</v>
          </cell>
          <cell r="B1853" t="str">
            <v>4 03833258</v>
          </cell>
          <cell r="C1853">
            <v>40718</v>
          </cell>
          <cell r="D1853" t="str">
            <v>WP APPROVED</v>
          </cell>
          <cell r="F1853" t="str">
            <v>TIER 3</v>
          </cell>
          <cell r="G1853" t="str">
            <v>UNSKILLED</v>
          </cell>
          <cell r="H1853">
            <v>450</v>
          </cell>
          <cell r="I1853">
            <v>40725</v>
          </cell>
        </row>
        <row r="1854">
          <cell r="A1854" t="str">
            <v>VIKNESWARAN A/L MUNIANDY</v>
          </cell>
          <cell r="B1854" t="str">
            <v>4 03338680</v>
          </cell>
          <cell r="C1854">
            <v>40567</v>
          </cell>
          <cell r="D1854" t="str">
            <v>WP LIVE</v>
          </cell>
          <cell r="E1854">
            <v>41286</v>
          </cell>
          <cell r="F1854" t="str">
            <v>TIER 3</v>
          </cell>
          <cell r="G1854" t="str">
            <v>UNSKILLED</v>
          </cell>
          <cell r="H1854">
            <v>450</v>
          </cell>
          <cell r="I1854">
            <v>40725</v>
          </cell>
        </row>
        <row r="1855">
          <cell r="A1855" t="str">
            <v>VIKNESWARI A/P K MUTHU</v>
          </cell>
          <cell r="B1855" t="str">
            <v>4 03843989</v>
          </cell>
          <cell r="C1855">
            <v>40728</v>
          </cell>
          <cell r="D1855" t="str">
            <v>WP APPROVED</v>
          </cell>
          <cell r="F1855" t="str">
            <v>TIER 3</v>
          </cell>
          <cell r="G1855" t="str">
            <v>UNSKILLED</v>
          </cell>
          <cell r="H1855">
            <v>450</v>
          </cell>
          <cell r="I1855">
            <v>40728</v>
          </cell>
        </row>
        <row r="1856">
          <cell r="A1856" t="str">
            <v>VIKNESWARY A/P NAGARAJAN</v>
          </cell>
          <cell r="B1856" t="str">
            <v>4 0366605-</v>
          </cell>
          <cell r="C1856">
            <v>40595</v>
          </cell>
          <cell r="D1856" t="str">
            <v>WP LIVE</v>
          </cell>
          <cell r="E1856">
            <v>41012</v>
          </cell>
          <cell r="F1856" t="str">
            <v>TIER 3</v>
          </cell>
          <cell r="G1856" t="str">
            <v>UNSKILLED</v>
          </cell>
          <cell r="H1856">
            <v>450</v>
          </cell>
          <cell r="I1856">
            <v>40725</v>
          </cell>
        </row>
        <row r="1857">
          <cell r="A1857" t="str">
            <v>VIMALA A/P KANNAIAH</v>
          </cell>
          <cell r="B1857" t="str">
            <v>5 18220667</v>
          </cell>
          <cell r="C1857">
            <v>40603</v>
          </cell>
          <cell r="D1857" t="str">
            <v>WP LIVE</v>
          </cell>
          <cell r="E1857">
            <v>41346</v>
          </cell>
          <cell r="F1857" t="str">
            <v>TIER 3</v>
          </cell>
          <cell r="G1857" t="str">
            <v>UNSKILLED</v>
          </cell>
          <cell r="H1857">
            <v>450</v>
          </cell>
          <cell r="I1857">
            <v>40725</v>
          </cell>
        </row>
        <row r="1858">
          <cell r="A1858" t="str">
            <v>VIMALA A/P SUBRAMANIAN</v>
          </cell>
          <cell r="B1858" t="str">
            <v>5 38323861</v>
          </cell>
          <cell r="C1858">
            <v>40641</v>
          </cell>
          <cell r="D1858" t="str">
            <v>WP LIVE</v>
          </cell>
          <cell r="E1858">
            <v>41382</v>
          </cell>
          <cell r="F1858" t="str">
            <v>TIER 3</v>
          </cell>
          <cell r="G1858" t="str">
            <v>UNSKILLED</v>
          </cell>
          <cell r="H1858">
            <v>450</v>
          </cell>
          <cell r="I1858">
            <v>40725</v>
          </cell>
        </row>
        <row r="1859">
          <cell r="A1859" t="str">
            <v>VIMALA DEVI A/P SEEVAN</v>
          </cell>
          <cell r="B1859" t="str">
            <v>4 03739936</v>
          </cell>
          <cell r="C1859">
            <v>40715</v>
          </cell>
          <cell r="D1859" t="str">
            <v>WP APPROVED</v>
          </cell>
          <cell r="F1859" t="str">
            <v>TIER 3</v>
          </cell>
          <cell r="G1859" t="str">
            <v>UNSKILLED</v>
          </cell>
          <cell r="H1859">
            <v>450</v>
          </cell>
          <cell r="I1859">
            <v>40725</v>
          </cell>
        </row>
        <row r="1860">
          <cell r="A1860" t="str">
            <v>VINOD KHANNA A/L SUNDRAM</v>
          </cell>
          <cell r="B1860" t="str">
            <v>4 03606146</v>
          </cell>
          <cell r="C1860">
            <v>40521</v>
          </cell>
          <cell r="D1860" t="str">
            <v>WP LIVE</v>
          </cell>
          <cell r="E1860">
            <v>40885</v>
          </cell>
          <cell r="F1860" t="str">
            <v>TIER 3</v>
          </cell>
          <cell r="G1860" t="str">
            <v>UNSKILLED</v>
          </cell>
          <cell r="H1860">
            <v>450</v>
          </cell>
          <cell r="I1860">
            <v>40725</v>
          </cell>
        </row>
        <row r="1861">
          <cell r="A1861" t="str">
            <v>VISALATCHY A/P KUNASEKARAN</v>
          </cell>
          <cell r="B1861" t="str">
            <v>4 01442871</v>
          </cell>
          <cell r="C1861">
            <v>40707</v>
          </cell>
          <cell r="D1861" t="str">
            <v>WP LIVE</v>
          </cell>
          <cell r="E1861">
            <v>41449</v>
          </cell>
          <cell r="F1861" t="str">
            <v>TIER 3</v>
          </cell>
          <cell r="G1861" t="str">
            <v>UNSKILLED</v>
          </cell>
          <cell r="H1861">
            <v>450</v>
          </cell>
          <cell r="I1861">
            <v>40725</v>
          </cell>
        </row>
        <row r="1862">
          <cell r="A1862" t="str">
            <v>VISHNU A/L BATUMALI</v>
          </cell>
          <cell r="B1862" t="str">
            <v>4 03143219</v>
          </cell>
          <cell r="C1862">
            <v>40598</v>
          </cell>
          <cell r="D1862" t="str">
            <v>WP LIVE</v>
          </cell>
          <cell r="E1862">
            <v>41336</v>
          </cell>
          <cell r="F1862" t="str">
            <v>TIER 3</v>
          </cell>
          <cell r="G1862" t="str">
            <v>UNSKILLED</v>
          </cell>
          <cell r="H1862">
            <v>450</v>
          </cell>
          <cell r="I1862">
            <v>40725</v>
          </cell>
        </row>
        <row r="1863">
          <cell r="A1863" t="str">
            <v>VITYAVATHY A/P RAMAN</v>
          </cell>
          <cell r="B1863" t="str">
            <v>4 0306629-</v>
          </cell>
          <cell r="C1863">
            <v>40718</v>
          </cell>
          <cell r="D1863" t="str">
            <v>WP APPROVED</v>
          </cell>
          <cell r="F1863" t="str">
            <v>TIER 3</v>
          </cell>
          <cell r="G1863" t="str">
            <v>UNSKILLED</v>
          </cell>
          <cell r="H1863">
            <v>450</v>
          </cell>
          <cell r="I1863">
            <v>40725</v>
          </cell>
        </row>
        <row r="1864">
          <cell r="A1864" t="str">
            <v>WANG BO</v>
          </cell>
          <cell r="B1864" t="str">
            <v>0 73260523</v>
          </cell>
          <cell r="C1864">
            <v>40575</v>
          </cell>
          <cell r="D1864" t="str">
            <v>WP LIVE</v>
          </cell>
          <cell r="E1864">
            <v>41319</v>
          </cell>
          <cell r="F1864" t="str">
            <v>TIER 3</v>
          </cell>
          <cell r="G1864" t="str">
            <v>UNSKILLED</v>
          </cell>
          <cell r="H1864">
            <v>450</v>
          </cell>
          <cell r="I1864">
            <v>40725</v>
          </cell>
        </row>
        <row r="1865">
          <cell r="A1865" t="str">
            <v>WANG CHUAN WEI</v>
          </cell>
          <cell r="B1865" t="str">
            <v>0 74331548</v>
          </cell>
          <cell r="C1865">
            <v>40611</v>
          </cell>
          <cell r="D1865" t="str">
            <v>WP LIVE</v>
          </cell>
          <cell r="E1865">
            <v>41347</v>
          </cell>
          <cell r="F1865" t="str">
            <v>TIER 3</v>
          </cell>
          <cell r="G1865" t="str">
            <v>UNSKILLED</v>
          </cell>
          <cell r="H1865">
            <v>450</v>
          </cell>
          <cell r="I1865">
            <v>40725</v>
          </cell>
        </row>
        <row r="1866">
          <cell r="A1866" t="str">
            <v>WANG LIANG</v>
          </cell>
          <cell r="B1866" t="str">
            <v>0 74478980</v>
          </cell>
          <cell r="C1866">
            <v>40694</v>
          </cell>
          <cell r="D1866" t="str">
            <v>WP LIVE</v>
          </cell>
          <cell r="E1866">
            <v>41426</v>
          </cell>
          <cell r="F1866" t="str">
            <v>TIER 3</v>
          </cell>
          <cell r="G1866" t="str">
            <v>UNSKILLED</v>
          </cell>
          <cell r="H1866">
            <v>450</v>
          </cell>
          <cell r="I1866">
            <v>40725</v>
          </cell>
        </row>
        <row r="1867">
          <cell r="A1867" t="str">
            <v>WANG SHENG HONG</v>
          </cell>
          <cell r="B1867" t="str">
            <v>0 74245870</v>
          </cell>
          <cell r="C1867">
            <v>40542</v>
          </cell>
          <cell r="D1867" t="str">
            <v>WP LIVE</v>
          </cell>
          <cell r="E1867">
            <v>41276</v>
          </cell>
          <cell r="F1867" t="str">
            <v>TIER 3</v>
          </cell>
          <cell r="G1867" t="str">
            <v>UNSKILLED</v>
          </cell>
          <cell r="H1867">
            <v>450</v>
          </cell>
          <cell r="I1867">
            <v>40725</v>
          </cell>
        </row>
        <row r="1868">
          <cell r="A1868" t="str">
            <v>WANG SHI CHAO</v>
          </cell>
          <cell r="B1868" t="str">
            <v>0 74369456</v>
          </cell>
          <cell r="C1868">
            <v>40631</v>
          </cell>
          <cell r="D1868" t="str">
            <v>WP LIVE</v>
          </cell>
          <cell r="E1868">
            <v>41367</v>
          </cell>
          <cell r="F1868" t="str">
            <v>TIER 3</v>
          </cell>
          <cell r="G1868" t="str">
            <v>UNSKILLED</v>
          </cell>
          <cell r="H1868">
            <v>450</v>
          </cell>
          <cell r="I1868">
            <v>40725</v>
          </cell>
        </row>
        <row r="1869">
          <cell r="A1869" t="str">
            <v>WANG YUNFANG</v>
          </cell>
          <cell r="B1869" t="str">
            <v>0 7372502-</v>
          </cell>
          <cell r="C1869">
            <v>40505</v>
          </cell>
          <cell r="D1869" t="str">
            <v>WP LIVE</v>
          </cell>
          <cell r="E1869">
            <v>41241</v>
          </cell>
          <cell r="F1869" t="str">
            <v>TIER 3</v>
          </cell>
          <cell r="G1869" t="str">
            <v>UNSKILLED</v>
          </cell>
          <cell r="H1869">
            <v>450</v>
          </cell>
          <cell r="I1869">
            <v>40725</v>
          </cell>
        </row>
        <row r="1870">
          <cell r="A1870" t="str">
            <v>WANG ZHILI</v>
          </cell>
          <cell r="B1870" t="str">
            <v>0 74521908</v>
          </cell>
          <cell r="C1870">
            <v>40722</v>
          </cell>
          <cell r="D1870" t="str">
            <v>WP APPROVED</v>
          </cell>
          <cell r="F1870" t="str">
            <v>TIER 3</v>
          </cell>
          <cell r="G1870" t="str">
            <v>UNSKILLED</v>
          </cell>
          <cell r="H1870">
            <v>450</v>
          </cell>
          <cell r="I1870">
            <v>40725</v>
          </cell>
        </row>
        <row r="1871">
          <cell r="A1871" t="str">
            <v>WEGNES A/L KUPPEN</v>
          </cell>
          <cell r="B1871" t="str">
            <v>4 03801682</v>
          </cell>
          <cell r="C1871">
            <v>40693</v>
          </cell>
          <cell r="D1871" t="str">
            <v>WP LIVE</v>
          </cell>
          <cell r="E1871">
            <v>41441</v>
          </cell>
          <cell r="F1871" t="str">
            <v>TIER 3</v>
          </cell>
          <cell r="G1871" t="str">
            <v>UNSKILLED</v>
          </cell>
          <cell r="H1871">
            <v>450</v>
          </cell>
          <cell r="I1871">
            <v>40725</v>
          </cell>
        </row>
        <row r="1872">
          <cell r="A1872" t="str">
            <v>WILLIAM A/L ARAGASAMY</v>
          </cell>
          <cell r="B1872" t="str">
            <v>4 0277732-</v>
          </cell>
          <cell r="C1872">
            <v>40700</v>
          </cell>
          <cell r="D1872" t="str">
            <v>WP LIVE</v>
          </cell>
          <cell r="E1872">
            <v>41285</v>
          </cell>
          <cell r="F1872" t="str">
            <v>TIER 3</v>
          </cell>
          <cell r="G1872" t="str">
            <v>UNSKILLED</v>
          </cell>
          <cell r="H1872">
            <v>450</v>
          </cell>
          <cell r="I1872">
            <v>40725</v>
          </cell>
        </row>
        <row r="1873">
          <cell r="A1873" t="str">
            <v>WONG YOKE CHING</v>
          </cell>
          <cell r="B1873" t="str">
            <v>3 70751137</v>
          </cell>
          <cell r="C1873">
            <v>40658</v>
          </cell>
          <cell r="D1873" t="str">
            <v>WP LIVE</v>
          </cell>
          <cell r="E1873">
            <v>41406</v>
          </cell>
          <cell r="F1873" t="str">
            <v>TIER 3</v>
          </cell>
          <cell r="G1873" t="str">
            <v>UNSKILLED</v>
          </cell>
          <cell r="H1873">
            <v>450</v>
          </cell>
          <cell r="I1873">
            <v>40725</v>
          </cell>
        </row>
        <row r="1874">
          <cell r="A1874" t="str">
            <v>WU KIN LENG</v>
          </cell>
          <cell r="B1874" t="str">
            <v>3 61379721</v>
          </cell>
          <cell r="C1874">
            <v>40668</v>
          </cell>
          <cell r="D1874" t="str">
            <v>WP LIVE</v>
          </cell>
          <cell r="E1874">
            <v>41267</v>
          </cell>
          <cell r="F1874" t="str">
            <v>TIER 3</v>
          </cell>
          <cell r="G1874" t="str">
            <v>UNSKILLED</v>
          </cell>
          <cell r="H1874">
            <v>450</v>
          </cell>
          <cell r="I1874">
            <v>40725</v>
          </cell>
        </row>
        <row r="1875">
          <cell r="A1875" t="str">
            <v>WU ZHONGMIN</v>
          </cell>
          <cell r="B1875" t="str">
            <v>0 72455924</v>
          </cell>
          <cell r="C1875">
            <v>40651</v>
          </cell>
          <cell r="D1875" t="str">
            <v>WP LIVE</v>
          </cell>
          <cell r="E1875">
            <v>40877</v>
          </cell>
          <cell r="F1875" t="str">
            <v>TIER 3</v>
          </cell>
          <cell r="G1875" t="str">
            <v>UNSKILLED</v>
          </cell>
          <cell r="H1875">
            <v>450</v>
          </cell>
          <cell r="I1875">
            <v>40725</v>
          </cell>
        </row>
        <row r="1876">
          <cell r="A1876" t="str">
            <v>XIANG XUEJUAN</v>
          </cell>
          <cell r="B1876" t="str">
            <v>0 74521797</v>
          </cell>
          <cell r="C1876">
            <v>40722</v>
          </cell>
          <cell r="D1876" t="str">
            <v>WP APPROVED</v>
          </cell>
          <cell r="F1876" t="str">
            <v>TIER 3</v>
          </cell>
          <cell r="G1876" t="str">
            <v>UNSKILLED</v>
          </cell>
          <cell r="H1876">
            <v>450</v>
          </cell>
          <cell r="I1876">
            <v>40725</v>
          </cell>
        </row>
        <row r="1877">
          <cell r="A1877" t="str">
            <v>XIE MUXIANG</v>
          </cell>
          <cell r="B1877" t="str">
            <v>0 74412025</v>
          </cell>
          <cell r="C1877">
            <v>40707</v>
          </cell>
          <cell r="D1877" t="str">
            <v>WP LIVE</v>
          </cell>
          <cell r="E1877">
            <v>41452</v>
          </cell>
          <cell r="F1877" t="str">
            <v>TIER 3</v>
          </cell>
          <cell r="G1877" t="str">
            <v>UNSKILLED</v>
          </cell>
          <cell r="H1877">
            <v>450</v>
          </cell>
          <cell r="I1877">
            <v>40725</v>
          </cell>
        </row>
        <row r="1878">
          <cell r="A1878" t="str">
            <v>XU FENGMEI</v>
          </cell>
          <cell r="B1878" t="str">
            <v>0 74287107</v>
          </cell>
          <cell r="C1878">
            <v>40576</v>
          </cell>
          <cell r="D1878" t="str">
            <v>WP LIVE</v>
          </cell>
          <cell r="E1878">
            <v>41319</v>
          </cell>
          <cell r="F1878" t="str">
            <v>TIER 3</v>
          </cell>
          <cell r="G1878" t="str">
            <v>UNSKILLED</v>
          </cell>
          <cell r="H1878">
            <v>450</v>
          </cell>
          <cell r="I1878">
            <v>40725</v>
          </cell>
        </row>
        <row r="1879">
          <cell r="A1879" t="str">
            <v>XU XIA</v>
          </cell>
          <cell r="B1879" t="str">
            <v>0 74287115</v>
          </cell>
          <cell r="C1879">
            <v>40576</v>
          </cell>
          <cell r="D1879" t="str">
            <v>WP LIVE</v>
          </cell>
          <cell r="E1879">
            <v>41319</v>
          </cell>
          <cell r="F1879" t="str">
            <v>TIER 3</v>
          </cell>
          <cell r="G1879" t="str">
            <v>UNSKILLED</v>
          </cell>
          <cell r="H1879">
            <v>450</v>
          </cell>
          <cell r="I1879">
            <v>40725</v>
          </cell>
        </row>
        <row r="1880">
          <cell r="A1880" t="str">
            <v>YAMUNA A/P RAMASAMY</v>
          </cell>
          <cell r="B1880" t="str">
            <v>4 03593680</v>
          </cell>
          <cell r="C1880">
            <v>40581</v>
          </cell>
          <cell r="D1880" t="str">
            <v>WP LIVE</v>
          </cell>
          <cell r="E1880">
            <v>41339</v>
          </cell>
          <cell r="F1880" t="str">
            <v>TIER 3</v>
          </cell>
          <cell r="G1880" t="str">
            <v>UNSKILLED</v>
          </cell>
          <cell r="H1880">
            <v>450</v>
          </cell>
          <cell r="I1880">
            <v>40725</v>
          </cell>
        </row>
        <row r="1881">
          <cell r="A1881" t="str">
            <v>YAMUNA A/P SAGADHAVAN</v>
          </cell>
          <cell r="B1881" t="str">
            <v>5 10794974</v>
          </cell>
          <cell r="C1881">
            <v>40598</v>
          </cell>
          <cell r="D1881" t="str">
            <v>WP LIVE</v>
          </cell>
          <cell r="E1881">
            <v>41029</v>
          </cell>
          <cell r="F1881" t="str">
            <v>TIER 3</v>
          </cell>
          <cell r="G1881" t="str">
            <v>UNSKILLED</v>
          </cell>
          <cell r="H1881">
            <v>450</v>
          </cell>
          <cell r="I1881">
            <v>40598</v>
          </cell>
        </row>
        <row r="1882">
          <cell r="A1882" t="str">
            <v>YAN KUN</v>
          </cell>
          <cell r="B1882" t="str">
            <v>0 74331610</v>
          </cell>
          <cell r="C1882">
            <v>40611</v>
          </cell>
          <cell r="D1882" t="str">
            <v>WP LIVE</v>
          </cell>
          <cell r="E1882">
            <v>41347</v>
          </cell>
          <cell r="F1882" t="str">
            <v>TIER 3</v>
          </cell>
          <cell r="G1882" t="str">
            <v>UNSKILLED</v>
          </cell>
          <cell r="H1882">
            <v>450</v>
          </cell>
          <cell r="I1882">
            <v>40725</v>
          </cell>
        </row>
        <row r="1883">
          <cell r="A1883" t="str">
            <v>YANG CHUN RONG</v>
          </cell>
          <cell r="B1883" t="str">
            <v>0 74456014</v>
          </cell>
          <cell r="C1883">
            <v>40683</v>
          </cell>
          <cell r="D1883" t="str">
            <v>WP LIVE</v>
          </cell>
          <cell r="E1883">
            <v>41416</v>
          </cell>
          <cell r="F1883" t="str">
            <v>TIER 3</v>
          </cell>
          <cell r="G1883" t="str">
            <v>UNSKILLED</v>
          </cell>
          <cell r="H1883">
            <v>450</v>
          </cell>
          <cell r="I1883">
            <v>40725</v>
          </cell>
        </row>
        <row r="1884">
          <cell r="A1884" t="str">
            <v>YANG SAIHUA</v>
          </cell>
          <cell r="B1884" t="str">
            <v>0 74521762</v>
          </cell>
          <cell r="C1884">
            <v>40722</v>
          </cell>
          <cell r="D1884" t="str">
            <v>WP APPROVED</v>
          </cell>
          <cell r="F1884" t="str">
            <v>TIER 3</v>
          </cell>
          <cell r="G1884" t="str">
            <v>UNSKILLED</v>
          </cell>
          <cell r="H1884">
            <v>450</v>
          </cell>
          <cell r="I1884">
            <v>40725</v>
          </cell>
        </row>
        <row r="1885">
          <cell r="A1885" t="str">
            <v>YAO HUI QUN</v>
          </cell>
          <cell r="B1885" t="str">
            <v>0 74455956</v>
          </cell>
          <cell r="C1885">
            <v>40683</v>
          </cell>
          <cell r="D1885" t="str">
            <v>WP LIVE</v>
          </cell>
          <cell r="E1885">
            <v>41416</v>
          </cell>
          <cell r="F1885" t="str">
            <v>TIER 3</v>
          </cell>
          <cell r="G1885" t="str">
            <v>UNSKILLED</v>
          </cell>
          <cell r="H1885">
            <v>450</v>
          </cell>
          <cell r="I1885">
            <v>40725</v>
          </cell>
        </row>
        <row r="1886">
          <cell r="A1886" t="str">
            <v>YAP WEI LEONG</v>
          </cell>
          <cell r="B1886" t="str">
            <v>4 03652989</v>
          </cell>
          <cell r="C1886">
            <v>40582</v>
          </cell>
          <cell r="D1886" t="str">
            <v>WP LIVE</v>
          </cell>
          <cell r="E1886">
            <v>41336</v>
          </cell>
          <cell r="F1886" t="str">
            <v>TIER 3</v>
          </cell>
          <cell r="G1886" t="str">
            <v>UNSKILLED</v>
          </cell>
          <cell r="H1886">
            <v>450</v>
          </cell>
          <cell r="I1886">
            <v>40725</v>
          </cell>
        </row>
        <row r="1887">
          <cell r="A1887" t="str">
            <v>YASHENI A/P K RAMASAMY</v>
          </cell>
          <cell r="B1887" t="str">
            <v>4 03843865</v>
          </cell>
          <cell r="C1887">
            <v>40728</v>
          </cell>
          <cell r="D1887" t="str">
            <v>WP APPROVED</v>
          </cell>
          <cell r="F1887" t="str">
            <v>TIER 3</v>
          </cell>
          <cell r="G1887" t="str">
            <v>UNSKILLED</v>
          </cell>
          <cell r="H1887">
            <v>450</v>
          </cell>
          <cell r="I1887">
            <v>40728</v>
          </cell>
        </row>
        <row r="1888">
          <cell r="A1888" t="str">
            <v>YESOTHA A/P KUMARAN</v>
          </cell>
          <cell r="B1888" t="str">
            <v>4 03801496</v>
          </cell>
          <cell r="C1888">
            <v>40693</v>
          </cell>
          <cell r="D1888" t="str">
            <v>WP LIVE</v>
          </cell>
          <cell r="E1888">
            <v>41387</v>
          </cell>
          <cell r="F1888" t="str">
            <v>TIER 3</v>
          </cell>
          <cell r="G1888" t="str">
            <v>UNSKILLED</v>
          </cell>
          <cell r="H1888">
            <v>450</v>
          </cell>
          <cell r="I1888">
            <v>40725</v>
          </cell>
        </row>
        <row r="1889">
          <cell r="A1889" t="str">
            <v>YIN RU FENG</v>
          </cell>
          <cell r="B1889" t="str">
            <v>0 7433170-</v>
          </cell>
          <cell r="C1889">
            <v>40611</v>
          </cell>
          <cell r="D1889" t="str">
            <v>WP LIVE</v>
          </cell>
          <cell r="E1889">
            <v>41347</v>
          </cell>
          <cell r="F1889" t="str">
            <v>TIER 3</v>
          </cell>
          <cell r="G1889" t="str">
            <v>UNSKILLED</v>
          </cell>
          <cell r="H1889">
            <v>450</v>
          </cell>
          <cell r="I1889">
            <v>40725</v>
          </cell>
        </row>
        <row r="1890">
          <cell r="A1890" t="str">
            <v>YIN SUQIN</v>
          </cell>
          <cell r="B1890" t="str">
            <v>0 74443478</v>
          </cell>
          <cell r="C1890">
            <v>40675</v>
          </cell>
          <cell r="D1890" t="str">
            <v>WP LIVE</v>
          </cell>
          <cell r="E1890">
            <v>41411</v>
          </cell>
          <cell r="F1890" t="str">
            <v>TIER 3</v>
          </cell>
          <cell r="G1890" t="str">
            <v>UNSKILLED</v>
          </cell>
          <cell r="H1890">
            <v>450</v>
          </cell>
          <cell r="I1890">
            <v>40725</v>
          </cell>
        </row>
        <row r="1891">
          <cell r="A1891" t="str">
            <v>YOGESVARI A/P PAIDAYAH</v>
          </cell>
          <cell r="B1891" t="str">
            <v>4 03397717</v>
          </cell>
          <cell r="C1891">
            <v>40660</v>
          </cell>
          <cell r="D1891" t="str">
            <v>WP LIVE</v>
          </cell>
          <cell r="E1891">
            <v>41359</v>
          </cell>
          <cell r="F1891" t="str">
            <v>TIER 3</v>
          </cell>
          <cell r="G1891" t="str">
            <v>UNSKILLED</v>
          </cell>
          <cell r="H1891">
            <v>450</v>
          </cell>
          <cell r="I1891">
            <v>40725</v>
          </cell>
        </row>
        <row r="1892">
          <cell r="A1892" t="str">
            <v>YOGESWARY A/P SUBRAMANIAM</v>
          </cell>
          <cell r="B1892" t="str">
            <v>4 03096059</v>
          </cell>
          <cell r="C1892">
            <v>40726</v>
          </cell>
          <cell r="D1892" t="str">
            <v>WP APPROVED</v>
          </cell>
          <cell r="F1892" t="str">
            <v>TIER 3</v>
          </cell>
          <cell r="G1892" t="str">
            <v>UNSKILLED</v>
          </cell>
          <cell r="H1892">
            <v>450</v>
          </cell>
          <cell r="I1892">
            <v>40726</v>
          </cell>
        </row>
        <row r="1893">
          <cell r="A1893" t="str">
            <v>YU YUE QIN</v>
          </cell>
          <cell r="B1893" t="str">
            <v>0 74331564</v>
          </cell>
          <cell r="C1893">
            <v>40611</v>
          </cell>
          <cell r="D1893" t="str">
            <v>WP LIVE</v>
          </cell>
          <cell r="E1893">
            <v>41347</v>
          </cell>
          <cell r="F1893" t="str">
            <v>TIER 3</v>
          </cell>
          <cell r="G1893" t="str">
            <v>UNSKILLED</v>
          </cell>
          <cell r="H1893">
            <v>450</v>
          </cell>
          <cell r="I1893">
            <v>40725</v>
          </cell>
        </row>
        <row r="1894">
          <cell r="A1894" t="str">
            <v>YUGESWARY A/P SANKARIA</v>
          </cell>
          <cell r="B1894" t="str">
            <v>4 03646784</v>
          </cell>
          <cell r="C1894">
            <v>40568</v>
          </cell>
          <cell r="D1894" t="str">
            <v>WP LIVE</v>
          </cell>
          <cell r="E1894">
            <v>41264</v>
          </cell>
          <cell r="F1894" t="str">
            <v>TIER 3</v>
          </cell>
          <cell r="G1894" t="str">
            <v>UNSKILLED</v>
          </cell>
          <cell r="H1894">
            <v>450</v>
          </cell>
          <cell r="I1894">
            <v>40725</v>
          </cell>
        </row>
        <row r="1895">
          <cell r="A1895" t="str">
            <v>YUSMA BINTI AHMAD YUNOS</v>
          </cell>
          <cell r="B1895" t="str">
            <v>4 03781770</v>
          </cell>
          <cell r="C1895">
            <v>40714</v>
          </cell>
          <cell r="D1895" t="str">
            <v>WP APPROVED</v>
          </cell>
          <cell r="F1895" t="str">
            <v>TIER 3</v>
          </cell>
          <cell r="G1895" t="str">
            <v>UNSKILLED</v>
          </cell>
          <cell r="H1895">
            <v>450</v>
          </cell>
          <cell r="I1895">
            <v>40725</v>
          </cell>
        </row>
        <row r="1896">
          <cell r="A1896" t="str">
            <v>ZAHARAH BINTI MOHAMED VEERAN KUTTY</v>
          </cell>
          <cell r="B1896" t="str">
            <v>3 67355824</v>
          </cell>
          <cell r="C1896">
            <v>40508</v>
          </cell>
          <cell r="D1896" t="str">
            <v>WP LIVE</v>
          </cell>
          <cell r="E1896">
            <v>40982</v>
          </cell>
          <cell r="F1896" t="str">
            <v>TIER 3</v>
          </cell>
          <cell r="G1896" t="str">
            <v>UNSKILLED</v>
          </cell>
          <cell r="H1896">
            <v>450</v>
          </cell>
          <cell r="I1896">
            <v>40725</v>
          </cell>
        </row>
        <row r="1897">
          <cell r="A1897" t="str">
            <v>ZAITUN BEE BINTI ABDUL RAHMAN</v>
          </cell>
          <cell r="B1897" t="str">
            <v>4 0166579-</v>
          </cell>
          <cell r="C1897">
            <v>40702</v>
          </cell>
          <cell r="D1897" t="str">
            <v>WP LIVE</v>
          </cell>
          <cell r="E1897">
            <v>41446</v>
          </cell>
          <cell r="F1897" t="str">
            <v>TIER 3</v>
          </cell>
          <cell r="G1897" t="str">
            <v>UNSKILLED</v>
          </cell>
          <cell r="H1897">
            <v>450</v>
          </cell>
          <cell r="I1897">
            <v>40725</v>
          </cell>
        </row>
        <row r="1898">
          <cell r="A1898" t="str">
            <v>ZARINA BT MUSTAFFA</v>
          </cell>
          <cell r="B1898" t="str">
            <v>5 22344133</v>
          </cell>
          <cell r="C1898">
            <v>40595</v>
          </cell>
          <cell r="D1898" t="str">
            <v>WP LIVE</v>
          </cell>
          <cell r="E1898">
            <v>41336</v>
          </cell>
          <cell r="F1898" t="str">
            <v>TIER 3</v>
          </cell>
          <cell r="G1898" t="str">
            <v>UNSKILLED</v>
          </cell>
          <cell r="H1898">
            <v>450</v>
          </cell>
          <cell r="I1898">
            <v>40725</v>
          </cell>
        </row>
        <row r="1899">
          <cell r="A1899" t="str">
            <v>ZHA XIAOSAN</v>
          </cell>
          <cell r="B1899" t="str">
            <v>0 74287069</v>
          </cell>
          <cell r="C1899">
            <v>40575</v>
          </cell>
          <cell r="D1899" t="str">
            <v>WP LIVE</v>
          </cell>
          <cell r="E1899">
            <v>41319</v>
          </cell>
          <cell r="F1899" t="str">
            <v>TIER 3</v>
          </cell>
          <cell r="G1899" t="str">
            <v>UNSKILLED</v>
          </cell>
          <cell r="H1899">
            <v>450</v>
          </cell>
          <cell r="I1899">
            <v>40725</v>
          </cell>
        </row>
        <row r="1900">
          <cell r="A1900" t="str">
            <v>ZHANG DONGMEI</v>
          </cell>
          <cell r="B1900" t="str">
            <v>0 56932739</v>
          </cell>
          <cell r="C1900">
            <v>40675</v>
          </cell>
          <cell r="D1900" t="str">
            <v>WP LIVE</v>
          </cell>
          <cell r="E1900">
            <v>41370</v>
          </cell>
          <cell r="F1900" t="str">
            <v>TIER 3</v>
          </cell>
          <cell r="G1900" t="str">
            <v>UNSKILLED</v>
          </cell>
          <cell r="H1900">
            <v>450</v>
          </cell>
          <cell r="I1900">
            <v>40725</v>
          </cell>
        </row>
        <row r="1901">
          <cell r="A1901" t="str">
            <v>ZHANG HAIZHEN</v>
          </cell>
          <cell r="B1901" t="str">
            <v>0 74478972</v>
          </cell>
          <cell r="C1901">
            <v>40694</v>
          </cell>
          <cell r="D1901" t="str">
            <v>WP LIVE</v>
          </cell>
          <cell r="E1901">
            <v>41426</v>
          </cell>
          <cell r="F1901" t="str">
            <v>TIER 3</v>
          </cell>
          <cell r="G1901" t="str">
            <v>UNSKILLED</v>
          </cell>
          <cell r="H1901">
            <v>450</v>
          </cell>
          <cell r="I1901">
            <v>40725</v>
          </cell>
        </row>
        <row r="1902">
          <cell r="A1902" t="str">
            <v>ZHANG REN JIE</v>
          </cell>
          <cell r="B1902" t="str">
            <v>0 72160347</v>
          </cell>
          <cell r="C1902">
            <v>40598</v>
          </cell>
          <cell r="D1902" t="str">
            <v>WP LIVE</v>
          </cell>
          <cell r="E1902">
            <v>41333</v>
          </cell>
          <cell r="F1902" t="str">
            <v>TIER 3</v>
          </cell>
          <cell r="G1902" t="str">
            <v>UNSKILLED</v>
          </cell>
          <cell r="H1902">
            <v>450</v>
          </cell>
          <cell r="I1902">
            <v>40598</v>
          </cell>
        </row>
        <row r="1903">
          <cell r="A1903" t="str">
            <v>ZHANG TINGBAO</v>
          </cell>
          <cell r="B1903" t="str">
            <v>0 74505708</v>
          </cell>
          <cell r="C1903">
            <v>40709</v>
          </cell>
          <cell r="D1903" t="str">
            <v>WP APPROVED</v>
          </cell>
          <cell r="F1903" t="str">
            <v>TIER 3</v>
          </cell>
          <cell r="G1903" t="str">
            <v>UNSKILLED</v>
          </cell>
          <cell r="H1903">
            <v>450</v>
          </cell>
          <cell r="I1903">
            <v>40725</v>
          </cell>
        </row>
        <row r="1904">
          <cell r="A1904" t="str">
            <v>ZHAO XIU HONG</v>
          </cell>
          <cell r="B1904" t="str">
            <v>0 74194591</v>
          </cell>
          <cell r="C1904">
            <v>40505</v>
          </cell>
          <cell r="D1904" t="str">
            <v>WP LIVE</v>
          </cell>
          <cell r="E1904">
            <v>41241</v>
          </cell>
          <cell r="F1904" t="str">
            <v>TIER 3</v>
          </cell>
          <cell r="G1904" t="str">
            <v>UNSKILLED</v>
          </cell>
          <cell r="H1904">
            <v>450</v>
          </cell>
          <cell r="I1904">
            <v>40725</v>
          </cell>
        </row>
        <row r="1905">
          <cell r="A1905" t="str">
            <v>ZHAO ZHENG QING</v>
          </cell>
          <cell r="B1905" t="str">
            <v>0 74217761</v>
          </cell>
          <cell r="C1905">
            <v>40522</v>
          </cell>
          <cell r="D1905" t="str">
            <v>WP LIVE</v>
          </cell>
          <cell r="E1905">
            <v>41257</v>
          </cell>
          <cell r="F1905" t="str">
            <v>TIER 3</v>
          </cell>
          <cell r="G1905" t="str">
            <v>UNSKILLED</v>
          </cell>
          <cell r="H1905">
            <v>450</v>
          </cell>
          <cell r="I1905">
            <v>40725</v>
          </cell>
        </row>
        <row r="1906">
          <cell r="A1906" t="str">
            <v>ZHONG WEI HUA</v>
          </cell>
          <cell r="B1906" t="str">
            <v>0 74194605</v>
          </cell>
          <cell r="C1906">
            <v>40505</v>
          </cell>
          <cell r="D1906" t="str">
            <v>WP LIVE</v>
          </cell>
          <cell r="E1906">
            <v>41241</v>
          </cell>
          <cell r="F1906" t="str">
            <v>TIER 3</v>
          </cell>
          <cell r="G1906" t="str">
            <v>UNSKILLED</v>
          </cell>
          <cell r="H1906">
            <v>450</v>
          </cell>
          <cell r="I1906">
            <v>40725</v>
          </cell>
        </row>
        <row r="1907">
          <cell r="A1907" t="str">
            <v>ZHOU YANQIN</v>
          </cell>
          <cell r="B1907" t="str">
            <v>0 74505457</v>
          </cell>
          <cell r="C1907">
            <v>40709</v>
          </cell>
          <cell r="D1907" t="str">
            <v>WP APPROVED</v>
          </cell>
          <cell r="F1907" t="str">
            <v>TIER 3</v>
          </cell>
          <cell r="G1907" t="str">
            <v>UNSKILLED</v>
          </cell>
          <cell r="H1907">
            <v>450</v>
          </cell>
          <cell r="I1907">
            <v>40725</v>
          </cell>
        </row>
        <row r="1908">
          <cell r="A1908" t="str">
            <v>ZHOU YUHUA</v>
          </cell>
          <cell r="B1908" t="str">
            <v>0 74478948</v>
          </cell>
          <cell r="C1908">
            <v>40694</v>
          </cell>
          <cell r="D1908" t="str">
            <v>WP LIVE</v>
          </cell>
          <cell r="E1908">
            <v>41426</v>
          </cell>
          <cell r="F1908" t="str">
            <v>TIER 3</v>
          </cell>
          <cell r="G1908" t="str">
            <v>UNSKILLED</v>
          </cell>
          <cell r="H1908">
            <v>450</v>
          </cell>
          <cell r="I1908">
            <v>40725</v>
          </cell>
        </row>
        <row r="1909">
          <cell r="A1909" t="str">
            <v>ZHU QIULING</v>
          </cell>
          <cell r="B1909" t="str">
            <v>0 74505406</v>
          </cell>
          <cell r="C1909">
            <v>40709</v>
          </cell>
          <cell r="D1909" t="str">
            <v>WP APPROVED</v>
          </cell>
          <cell r="F1909" t="str">
            <v>TIER 3</v>
          </cell>
          <cell r="G1909" t="str">
            <v>UNSKILLED</v>
          </cell>
          <cell r="H1909">
            <v>450</v>
          </cell>
          <cell r="I1909">
            <v>40725</v>
          </cell>
        </row>
        <row r="1910">
          <cell r="A1910" t="str">
            <v>ZHU XIAOXIANG</v>
          </cell>
          <cell r="B1910" t="str">
            <v>0 74388957</v>
          </cell>
          <cell r="C1910">
            <v>40640</v>
          </cell>
          <cell r="D1910" t="str">
            <v>WP LIVE</v>
          </cell>
          <cell r="E1910">
            <v>41381</v>
          </cell>
          <cell r="F1910" t="str">
            <v>TIER 3</v>
          </cell>
          <cell r="G1910" t="str">
            <v>UNSKILLED</v>
          </cell>
          <cell r="H1910">
            <v>450</v>
          </cell>
          <cell r="I1910">
            <v>40725</v>
          </cell>
        </row>
      </sheetData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!!"/>
      <sheetName val="Input"/>
      <sheetName val="Summary"/>
      <sheetName val="Reference"/>
      <sheetName val="Vertical Pricing"/>
      <sheetName val="Notification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Control 5"/>
      <sheetName val="(details)"/>
      <sheetName val="BMS"/>
      <sheetName val="DUPS&amp;STS"/>
      <sheetName val="water dispenser"/>
      <sheetName val="looku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Pricing Proposal (inflation)"/>
      <sheetName val="1. Pricing Proposal"/>
      <sheetName val="2. Details Costing"/>
      <sheetName val="3. Levy &amp; CPF Rate "/>
      <sheetName val="4. Deployment"/>
      <sheetName val="5. Original Deployment"/>
      <sheetName val="6. $ Original Deployment (C)"/>
      <sheetName val="7. Proposed Deployment"/>
      <sheetName val="8. Deployment Ratio L,WP,SP"/>
      <sheetName val="9.$ Deployment Ratio L,WP,SP(C)"/>
      <sheetName val="10. Proposed Deployment(P)"/>
      <sheetName val="B. Chemicals"/>
      <sheetName val="C. Material"/>
      <sheetName val="D. Machineries &amp; Eqipment"/>
      <sheetName val="E. IT, Office"/>
      <sheetName val="F. Housekeeping Supplie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  <sheetName val="2_SGP"/>
      <sheetName val="CN Tracker"/>
    </sheetNames>
    <sheetDataSet>
      <sheetData sheetId="0"/>
      <sheetData sheetId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!!"/>
      <sheetName val="Input"/>
      <sheetName val="Summary"/>
      <sheetName val="Reference"/>
      <sheetName val="Vertical Pricing"/>
      <sheetName val="Notificatio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Savings list"/>
      <sheetName val="Savings_list"/>
      <sheetName val="Sheet2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  <sheetName val="Summary"/>
      <sheetName val="1_TWN"/>
      <sheetName val="1_HKG"/>
      <sheetName val="1_MYS"/>
      <sheetName val="1_SGP"/>
    </sheetNames>
    <sheetDataSet>
      <sheetData sheetId="0"/>
      <sheetData sheetId="1" refreshError="1"/>
      <sheetData sheetId="2"/>
      <sheetData sheetId="3"/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Breakdown"/>
      <sheetName val="Local &amp; Foreigner Breakdown (2)"/>
      <sheetName val="Price Variation"/>
      <sheetName val="Working Sheet"/>
      <sheetName val="Summary &amp; Reference"/>
      <sheetName val="Working Sheet (2)"/>
      <sheetName val="Local &amp; Foreigner Breakdown (3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oad"/>
      <sheetName val="Control"/>
      <sheetName val="Summary &amp; Reference"/>
      <sheetName val="Working Sheet"/>
    </sheetNames>
    <sheetDataSet>
      <sheetData sheetId="0" refreshError="1"/>
      <sheetData sheetId="1">
        <row r="11">
          <cell r="J11" t="str">
            <v>AUTOEXP</v>
          </cell>
          <cell r="M11" t="str">
            <v>AUTOEXP</v>
          </cell>
          <cell r="P11" t="str">
            <v>ACCT MANAGER</v>
          </cell>
          <cell r="S11" t="str">
            <v>DEFAULT</v>
          </cell>
        </row>
        <row r="12">
          <cell r="M12" t="str">
            <v>CARRIERSCAN</v>
          </cell>
          <cell r="P12" t="str">
            <v>ADDTNL CONTACT</v>
          </cell>
          <cell r="S12" t="str">
            <v>IN</v>
          </cell>
        </row>
        <row r="13">
          <cell r="M13" t="str">
            <v>CLEANSWEEP</v>
          </cell>
          <cell r="P13" t="str">
            <v>APPLIANCES</v>
          </cell>
          <cell r="S13" t="str">
            <v>NODISC</v>
          </cell>
        </row>
        <row r="14">
          <cell r="M14" t="str">
            <v>CLSCANNER</v>
          </cell>
          <cell r="P14" t="str">
            <v>AUTOEXP</v>
          </cell>
          <cell r="S14" t="str">
            <v>NONIN</v>
          </cell>
        </row>
        <row r="15">
          <cell r="M15" t="str">
            <v>COMMANDER</v>
          </cell>
          <cell r="P15" t="str">
            <v>BOX</v>
          </cell>
        </row>
        <row r="16">
          <cell r="M16" t="str">
            <v>CRASHGUARD</v>
          </cell>
          <cell r="P16" t="str">
            <v>BOX EDU</v>
          </cell>
        </row>
        <row r="17">
          <cell r="M17" t="str">
            <v>DEFAULT</v>
          </cell>
          <cell r="P17" t="str">
            <v>CONSULTING</v>
          </cell>
        </row>
        <row r="18">
          <cell r="M18" t="str">
            <v>DEFENDER</v>
          </cell>
          <cell r="P18" t="str">
            <v>CTO</v>
          </cell>
        </row>
        <row r="19">
          <cell r="M19" t="str">
            <v>DESKTOP FIREWALL</v>
          </cell>
          <cell r="P19" t="str">
            <v>CV</v>
          </cell>
        </row>
        <row r="20">
          <cell r="M20" t="str">
            <v>EDUCATION SUITE</v>
          </cell>
          <cell r="P20" t="str">
            <v>CV EDU</v>
          </cell>
        </row>
        <row r="21">
          <cell r="M21" t="str">
            <v>ENT FIREWALL</v>
          </cell>
          <cell r="P21" t="str">
            <v>CV MAINT</v>
          </cell>
        </row>
        <row r="22">
          <cell r="M22" t="str">
            <v>ENT VPN</v>
          </cell>
          <cell r="P22" t="str">
            <v>DEFAULT</v>
          </cell>
        </row>
        <row r="23">
          <cell r="M23" t="str">
            <v>ENTFIREWALL/VPN</v>
          </cell>
          <cell r="P23" t="str">
            <v>DEMO HW</v>
          </cell>
        </row>
        <row r="24">
          <cell r="M24" t="str">
            <v>ESM</v>
          </cell>
          <cell r="P24" t="str">
            <v>DRS</v>
          </cell>
        </row>
        <row r="25">
          <cell r="M25" t="str">
            <v>GHOST</v>
          </cell>
          <cell r="P25" t="str">
            <v>EBP</v>
          </cell>
        </row>
        <row r="26">
          <cell r="M26" t="str">
            <v>HELPDESK SOL</v>
          </cell>
          <cell r="P26" t="str">
            <v>EBP EDU</v>
          </cell>
        </row>
        <row r="27">
          <cell r="M27" t="str">
            <v>IGEAR</v>
          </cell>
          <cell r="P27" t="str">
            <v>EBP MAINT</v>
          </cell>
        </row>
        <row r="28">
          <cell r="M28" t="str">
            <v>INTRUDER ALERT</v>
          </cell>
          <cell r="P28" t="str">
            <v>EBP MAINT EDU</v>
          </cell>
        </row>
        <row r="29">
          <cell r="M29" t="str">
            <v>MAILGEAR</v>
          </cell>
          <cell r="P29" t="str">
            <v>ELITE C</v>
          </cell>
        </row>
        <row r="30">
          <cell r="M30" t="str">
            <v>MULTI</v>
          </cell>
          <cell r="P30" t="str">
            <v>ELITE C MAINT</v>
          </cell>
        </row>
        <row r="31">
          <cell r="M31" t="str">
            <v>NAV</v>
          </cell>
          <cell r="P31" t="str">
            <v>ELITE F</v>
          </cell>
        </row>
        <row r="32">
          <cell r="M32" t="str">
            <v>NAV L&amp;E EDU</v>
          </cell>
          <cell r="P32" t="str">
            <v>ELITE F MAINT</v>
          </cell>
        </row>
        <row r="33">
          <cell r="M33" t="str">
            <v>NAV MAC</v>
          </cell>
          <cell r="P33" t="str">
            <v>EMERG SERVICE</v>
          </cell>
        </row>
        <row r="34">
          <cell r="M34" t="str">
            <v>NAV PALM</v>
          </cell>
          <cell r="P34" t="str">
            <v>ESD</v>
          </cell>
        </row>
        <row r="35">
          <cell r="M35" t="str">
            <v>NAV SMB</v>
          </cell>
          <cell r="P35" t="str">
            <v>GLP</v>
          </cell>
        </row>
        <row r="36">
          <cell r="M36" t="str">
            <v>NETPROWLER</v>
          </cell>
          <cell r="P36" t="str">
            <v>GOLD</v>
          </cell>
        </row>
        <row r="37">
          <cell r="M37" t="str">
            <v>NETRECON</v>
          </cell>
          <cell r="P37" t="str">
            <v>HELPDESK GOLD</v>
          </cell>
        </row>
        <row r="38">
          <cell r="M38" t="str">
            <v>NIS</v>
          </cell>
          <cell r="P38" t="str">
            <v>MANUAL</v>
          </cell>
        </row>
        <row r="39">
          <cell r="M39" t="str">
            <v>NIS MAC</v>
          </cell>
          <cell r="P39" t="str">
            <v>MEDIA</v>
          </cell>
        </row>
        <row r="40">
          <cell r="M40" t="str">
            <v>NPF</v>
          </cell>
          <cell r="P40" t="str">
            <v>MEDIA EDU</v>
          </cell>
        </row>
        <row r="41">
          <cell r="M41" t="str">
            <v>NPF MAC</v>
          </cell>
          <cell r="P41" t="str">
            <v>MSS</v>
          </cell>
        </row>
        <row r="42">
          <cell r="M42" t="str">
            <v>NSW</v>
          </cell>
          <cell r="P42" t="str">
            <v>MULTI</v>
          </cell>
        </row>
        <row r="43">
          <cell r="M43" t="str">
            <v>NSW MAC</v>
          </cell>
          <cell r="P43" t="str">
            <v>MULTI BOX</v>
          </cell>
        </row>
        <row r="44">
          <cell r="M44" t="str">
            <v>NU MAC</v>
          </cell>
          <cell r="P44" t="str">
            <v>MULTI BOX EDU</v>
          </cell>
        </row>
        <row r="45">
          <cell r="M45" t="str">
            <v>PCA</v>
          </cell>
          <cell r="P45" t="str">
            <v>NFR/EVAL</v>
          </cell>
        </row>
        <row r="46">
          <cell r="M46" t="str">
            <v>PROCOMM</v>
          </cell>
          <cell r="P46" t="str">
            <v>OEM</v>
          </cell>
        </row>
        <row r="47">
          <cell r="M47" t="str">
            <v>SAVEE EDU</v>
          </cell>
          <cell r="P47" t="str">
            <v>PLATINUM</v>
          </cell>
        </row>
        <row r="48">
          <cell r="M48" t="str">
            <v>SGS</v>
          </cell>
          <cell r="P48" t="str">
            <v>PLATINUM CARE</v>
          </cell>
        </row>
        <row r="49">
          <cell r="M49" t="str">
            <v>SOHO</v>
          </cell>
          <cell r="P49" t="str">
            <v>PLATINUM SUPPORT</v>
          </cell>
        </row>
        <row r="50">
          <cell r="M50" t="str">
            <v>SPEEDDISK</v>
          </cell>
          <cell r="P50" t="str">
            <v>PREMIUM PLATINUM</v>
          </cell>
        </row>
        <row r="51">
          <cell r="M51" t="str">
            <v>SWS</v>
          </cell>
          <cell r="P51" t="str">
            <v>SERVICES</v>
          </cell>
        </row>
        <row r="52">
          <cell r="M52" t="str">
            <v>TECH SUPP</v>
          </cell>
          <cell r="P52" t="str">
            <v>SUBS</v>
          </cell>
        </row>
        <row r="53">
          <cell r="M53" t="str">
            <v>TS AV FILTER</v>
          </cell>
          <cell r="P53" t="str">
            <v>TECH SUPPORT</v>
          </cell>
        </row>
        <row r="54">
          <cell r="M54" t="str">
            <v>TS ENT ADMIN</v>
          </cell>
          <cell r="P54" t="str">
            <v>TRAINING</v>
          </cell>
        </row>
        <row r="55">
          <cell r="M55" t="str">
            <v>TS FIREWALL</v>
          </cell>
          <cell r="P55" t="str">
            <v>TRIALWARE</v>
          </cell>
        </row>
        <row r="56">
          <cell r="M56" t="str">
            <v>TS ID</v>
          </cell>
          <cell r="P56" t="str">
            <v>UPG</v>
          </cell>
        </row>
        <row r="57">
          <cell r="M57" t="str">
            <v>TS VA</v>
          </cell>
          <cell r="P57" t="str">
            <v>UPG EDU</v>
          </cell>
        </row>
        <row r="58">
          <cell r="M58" t="str">
            <v>UTILITIES</v>
          </cell>
          <cell r="P58" t="str">
            <v>VALUE</v>
          </cell>
        </row>
        <row r="59">
          <cell r="M59" t="str">
            <v>VELOCIRAPTOR</v>
          </cell>
          <cell r="P59" t="str">
            <v>VALUE EDU</v>
          </cell>
        </row>
        <row r="60">
          <cell r="M60" t="str">
            <v>WEBNOT NEWSNOT</v>
          </cell>
          <cell r="P60" t="str">
            <v>VALUE EDU MAINT</v>
          </cell>
        </row>
        <row r="61">
          <cell r="M61" t="str">
            <v>WINFAX</v>
          </cell>
          <cell r="P61" t="str">
            <v>VALUE MAINT</v>
          </cell>
        </row>
        <row r="62">
          <cell r="M62" t="str">
            <v>ZIPIT</v>
          </cell>
          <cell r="P62" t="str">
            <v>VALUE UI</v>
          </cell>
        </row>
        <row r="63">
          <cell r="P63" t="str">
            <v>VALUE UI EDU</v>
          </cell>
        </row>
        <row r="64">
          <cell r="P64" t="str">
            <v>VALUE UPG</v>
          </cell>
        </row>
        <row r="65">
          <cell r="P65" t="str">
            <v>VLP</v>
          </cell>
        </row>
        <row r="66">
          <cell r="P66" t="str">
            <v>VLP EDU</v>
          </cell>
        </row>
        <row r="67">
          <cell r="P67" t="str">
            <v>VLP EDU MAINT</v>
          </cell>
        </row>
        <row r="68">
          <cell r="P68" t="str">
            <v>VLP MAINT</v>
          </cell>
        </row>
      </sheetData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!!"/>
      <sheetName val="Input"/>
      <sheetName val="Summary"/>
      <sheetName val="Vertical Pricing"/>
      <sheetName val="Reference"/>
      <sheetName val="Control"/>
      <sheetName val="Summary &amp; Reference"/>
      <sheetName val="Working Sheet"/>
    </sheetNames>
    <sheetDataSet>
      <sheetData sheetId="0" refreshError="1"/>
      <sheetData sheetId="1" refreshError="1">
        <row r="4">
          <cell r="C4" t="str">
            <v>Visual Café 3.1 Enterprise Suite</v>
          </cell>
        </row>
      </sheetData>
      <sheetData sheetId="2" refreshError="1"/>
      <sheetData sheetId="3" refreshError="1"/>
      <sheetData sheetId="4" refreshError="1">
        <row r="47">
          <cell r="C47">
            <v>0.21</v>
          </cell>
        </row>
        <row r="58">
          <cell r="C58">
            <v>3</v>
          </cell>
          <cell r="D58">
            <v>4</v>
          </cell>
          <cell r="E58">
            <v>5</v>
          </cell>
          <cell r="F58">
            <v>6</v>
          </cell>
        </row>
        <row r="73">
          <cell r="A73">
            <v>1</v>
          </cell>
          <cell r="B73" t="str">
            <v>Communications</v>
          </cell>
          <cell r="C73" t="str">
            <v>100-499</v>
          </cell>
          <cell r="D73" t="str">
            <v>500-999</v>
          </cell>
          <cell r="E73" t="str">
            <v>1000-1499</v>
          </cell>
          <cell r="F73" t="str">
            <v>1500-1999</v>
          </cell>
          <cell r="G73" t="str">
            <v>2000-3999</v>
          </cell>
        </row>
        <row r="74">
          <cell r="A74">
            <v>2</v>
          </cell>
          <cell r="B74" t="str">
            <v>AntiVirus Workstation Based</v>
          </cell>
          <cell r="C74" t="str">
            <v>100-249</v>
          </cell>
          <cell r="D74" t="str">
            <v>250-499</v>
          </cell>
          <cell r="E74" t="str">
            <v>500-999</v>
          </cell>
          <cell r="F74" t="str">
            <v>1000-1999</v>
          </cell>
          <cell r="G74" t="str">
            <v>2000-4999</v>
          </cell>
        </row>
        <row r="75">
          <cell r="A75">
            <v>3</v>
          </cell>
          <cell r="B75" t="str">
            <v>AntiVirus Server Based</v>
          </cell>
          <cell r="C75" t="str">
            <v>3-9</v>
          </cell>
          <cell r="D75" t="str">
            <v>10-19</v>
          </cell>
          <cell r="E75" t="str">
            <v>20-39</v>
          </cell>
          <cell r="F75" t="str">
            <v>40-99</v>
          </cell>
          <cell r="G75" t="str">
            <v>100-199</v>
          </cell>
        </row>
        <row r="76">
          <cell r="A76">
            <v>4</v>
          </cell>
          <cell r="B76" t="str">
            <v>AntiVirus Workstation &amp; Server</v>
          </cell>
          <cell r="C76" t="str">
            <v>100-249</v>
          </cell>
          <cell r="D76" t="str">
            <v>250-499</v>
          </cell>
          <cell r="E76" t="str">
            <v>500-999</v>
          </cell>
          <cell r="F76" t="str">
            <v>1000-1999</v>
          </cell>
          <cell r="G76" t="str">
            <v>2000-4999</v>
          </cell>
        </row>
        <row r="77">
          <cell r="A77">
            <v>5</v>
          </cell>
          <cell r="B77" t="str">
            <v>Utilities</v>
          </cell>
          <cell r="C77" t="str">
            <v>10-99</v>
          </cell>
          <cell r="D77" t="str">
            <v>100-499</v>
          </cell>
          <cell r="E77" t="str">
            <v>500-999</v>
          </cell>
          <cell r="F77" t="str">
            <v>1000-1499</v>
          </cell>
          <cell r="G77" t="str">
            <v>1500-1999</v>
          </cell>
        </row>
        <row r="78">
          <cell r="A78">
            <v>6</v>
          </cell>
          <cell r="B78" t="str">
            <v>Enterprise Prod. (Server Based)</v>
          </cell>
          <cell r="C78" t="str">
            <v>3-9</v>
          </cell>
          <cell r="D78" t="str">
            <v>10-19</v>
          </cell>
          <cell r="E78" t="str">
            <v>20-39</v>
          </cell>
          <cell r="F78" t="str">
            <v>40-99</v>
          </cell>
          <cell r="G78" t="str">
            <v>100-199</v>
          </cell>
        </row>
        <row r="79">
          <cell r="A79">
            <v>7</v>
          </cell>
          <cell r="B79" t="str">
            <v>Enterprise Prod. (Wkst. Based)</v>
          </cell>
          <cell r="C79" t="str">
            <v>100-249</v>
          </cell>
          <cell r="D79" t="str">
            <v>250-499</v>
          </cell>
          <cell r="E79" t="str">
            <v>500-999</v>
          </cell>
          <cell r="F79" t="str">
            <v>1000-1999</v>
          </cell>
          <cell r="G79" t="str">
            <v>2000-4999</v>
          </cell>
        </row>
        <row r="80">
          <cell r="A80">
            <v>8</v>
          </cell>
          <cell r="B80" t="str">
            <v>Productivity Applications</v>
          </cell>
          <cell r="C80" t="str">
            <v>25-99</v>
          </cell>
          <cell r="D80" t="str">
            <v>100-199</v>
          </cell>
          <cell r="E80" t="str">
            <v>200-299</v>
          </cell>
          <cell r="F80" t="str">
            <v>300-499</v>
          </cell>
          <cell r="G80" t="str">
            <v xml:space="preserve"> </v>
          </cell>
        </row>
        <row r="81">
          <cell r="A81">
            <v>9</v>
          </cell>
          <cell r="B81" t="str">
            <v>Development Tools</v>
          </cell>
          <cell r="C81" t="str">
            <v>10-99</v>
          </cell>
          <cell r="D81" t="str">
            <v>100-199</v>
          </cell>
          <cell r="E81" t="str">
            <v>200-299</v>
          </cell>
          <cell r="F81" t="str">
            <v>300-499</v>
          </cell>
          <cell r="G81" t="str">
            <v>500-999</v>
          </cell>
        </row>
        <row r="84">
          <cell r="A84">
            <v>1</v>
          </cell>
          <cell r="B84" t="str">
            <v>Communications</v>
          </cell>
          <cell r="C84" t="str">
            <v>25-99</v>
          </cell>
          <cell r="D84" t="str">
            <v>100-499</v>
          </cell>
          <cell r="E84" t="str">
            <v>500-999</v>
          </cell>
          <cell r="F84" t="str">
            <v>1000-1499</v>
          </cell>
          <cell r="G84" t="str">
            <v>1500-1999</v>
          </cell>
          <cell r="H84" t="str">
            <v>2000-3999</v>
          </cell>
          <cell r="I84" t="str">
            <v xml:space="preserve"> </v>
          </cell>
        </row>
        <row r="85">
          <cell r="A85">
            <v>2</v>
          </cell>
          <cell r="B85" t="str">
            <v>AntiVirus Workstation Based</v>
          </cell>
          <cell r="C85" t="str">
            <v>25-99</v>
          </cell>
          <cell r="D85" t="str">
            <v>100-249</v>
          </cell>
          <cell r="E85" t="str">
            <v>250-499</v>
          </cell>
          <cell r="F85" t="str">
            <v>500-999</v>
          </cell>
          <cell r="G85" t="str">
            <v>1000-1999</v>
          </cell>
          <cell r="H85" t="str">
            <v>2000-4999</v>
          </cell>
          <cell r="I85" t="str">
            <v>5000-9999</v>
          </cell>
        </row>
        <row r="86">
          <cell r="A86">
            <v>3</v>
          </cell>
          <cell r="B86" t="str">
            <v>AntiVirus Server Based</v>
          </cell>
          <cell r="C86" t="str">
            <v>3-9</v>
          </cell>
          <cell r="D86" t="str">
            <v>10-19</v>
          </cell>
          <cell r="E86" t="str">
            <v>20-39</v>
          </cell>
          <cell r="F86" t="str">
            <v>40-99</v>
          </cell>
          <cell r="G86" t="str">
            <v>100-199</v>
          </cell>
          <cell r="H86" t="str">
            <v>200-399</v>
          </cell>
          <cell r="I86" t="str">
            <v xml:space="preserve"> </v>
          </cell>
        </row>
        <row r="87">
          <cell r="A87">
            <v>4</v>
          </cell>
          <cell r="B87" t="str">
            <v>AntiVirus Workstation &amp; Server</v>
          </cell>
          <cell r="C87" t="str">
            <v>25-99</v>
          </cell>
          <cell r="D87" t="str">
            <v>100-249</v>
          </cell>
          <cell r="E87" t="str">
            <v>250-499</v>
          </cell>
          <cell r="F87" t="str">
            <v>500-999</v>
          </cell>
          <cell r="G87" t="str">
            <v>1000-1999</v>
          </cell>
          <cell r="H87" t="str">
            <v>2000-4999</v>
          </cell>
          <cell r="I87" t="str">
            <v>5000-9999</v>
          </cell>
        </row>
        <row r="88">
          <cell r="A88">
            <v>5</v>
          </cell>
          <cell r="B88" t="str">
            <v>Utilities</v>
          </cell>
          <cell r="C88" t="str">
            <v>10-99</v>
          </cell>
          <cell r="D88" t="str">
            <v>100-499</v>
          </cell>
          <cell r="E88" t="str">
            <v>500-999</v>
          </cell>
          <cell r="F88" t="str">
            <v>1000-1499</v>
          </cell>
          <cell r="G88" t="str">
            <v>1500-1999</v>
          </cell>
          <cell r="H88" t="str">
            <v>2000-3999</v>
          </cell>
          <cell r="I88" t="str">
            <v>4000-6999</v>
          </cell>
          <cell r="J88" t="str">
            <v>7000-9999</v>
          </cell>
          <cell r="K88" t="str">
            <v>10000-19999</v>
          </cell>
        </row>
        <row r="89">
          <cell r="A89">
            <v>6</v>
          </cell>
          <cell r="B89" t="str">
            <v>Enterprise Prod. (Server Based)</v>
          </cell>
          <cell r="D89" t="str">
            <v>3-9</v>
          </cell>
          <cell r="E89" t="str">
            <v>10-19</v>
          </cell>
          <cell r="F89" t="str">
            <v>20-39</v>
          </cell>
          <cell r="G89" t="str">
            <v>40-99</v>
          </cell>
          <cell r="H89" t="str">
            <v>100-199</v>
          </cell>
          <cell r="I89" t="str">
            <v>200-399</v>
          </cell>
          <cell r="J89" t="str">
            <v>400+</v>
          </cell>
        </row>
        <row r="90">
          <cell r="A90">
            <v>7</v>
          </cell>
          <cell r="B90" t="str">
            <v>Enterprise Prod. (Wkst. Based)</v>
          </cell>
          <cell r="C90" t="str">
            <v>25-99</v>
          </cell>
          <cell r="D90" t="str">
            <v>100-249</v>
          </cell>
          <cell r="E90" t="str">
            <v>250-499</v>
          </cell>
          <cell r="F90" t="str">
            <v>500-999</v>
          </cell>
          <cell r="G90" t="str">
            <v>1000-1999</v>
          </cell>
          <cell r="H90" t="str">
            <v>2000-4999</v>
          </cell>
          <cell r="I90" t="str">
            <v>5000-9999</v>
          </cell>
        </row>
        <row r="91">
          <cell r="A91">
            <v>8</v>
          </cell>
          <cell r="B91" t="str">
            <v>Productivity Applications</v>
          </cell>
          <cell r="C91" t="str">
            <v xml:space="preserve"> </v>
          </cell>
          <cell r="D91" t="str">
            <v>25-99</v>
          </cell>
          <cell r="E91" t="str">
            <v>100-199</v>
          </cell>
          <cell r="F91" t="str">
            <v>200-299</v>
          </cell>
          <cell r="G91" t="str">
            <v>300-499</v>
          </cell>
          <cell r="H91" t="str">
            <v xml:space="preserve"> </v>
          </cell>
          <cell r="I91" t="str">
            <v xml:space="preserve"> </v>
          </cell>
        </row>
        <row r="92">
          <cell r="A92">
            <v>9</v>
          </cell>
          <cell r="B92" t="str">
            <v>Development Tools</v>
          </cell>
          <cell r="D92" t="str">
            <v>10-99</v>
          </cell>
          <cell r="E92" t="str">
            <v>100-199</v>
          </cell>
          <cell r="F92" t="str">
            <v>200-299</v>
          </cell>
          <cell r="G92" t="str">
            <v>300-499</v>
          </cell>
          <cell r="H92" t="str">
            <v>500-999</v>
          </cell>
          <cell r="I92" t="str">
            <v>1000-1999</v>
          </cell>
          <cell r="J92" t="str">
            <v>2000-3999</v>
          </cell>
          <cell r="K92" t="str">
            <v>4000+</v>
          </cell>
        </row>
        <row r="133">
          <cell r="A133">
            <v>1</v>
          </cell>
          <cell r="B133" t="str">
            <v>Communications</v>
          </cell>
          <cell r="C133" t="str">
            <v>4000-6999</v>
          </cell>
          <cell r="D133" t="str">
            <v>7000-9999</v>
          </cell>
          <cell r="E133" t="str">
            <v>10000-19999</v>
          </cell>
          <cell r="F133" t="str">
            <v>20000+</v>
          </cell>
        </row>
        <row r="134">
          <cell r="A134">
            <v>2</v>
          </cell>
          <cell r="B134" t="str">
            <v>AntiVirus Workstation Based</v>
          </cell>
          <cell r="C134" t="str">
            <v>10000-19999</v>
          </cell>
          <cell r="D134" t="str">
            <v>20000-29999</v>
          </cell>
          <cell r="E134" t="str">
            <v>30000+</v>
          </cell>
        </row>
        <row r="135">
          <cell r="A135">
            <v>3</v>
          </cell>
          <cell r="B135" t="str">
            <v>AntiVirus Server Based</v>
          </cell>
          <cell r="C135" t="str">
            <v>400-499</v>
          </cell>
          <cell r="D135" t="str">
            <v>500+</v>
          </cell>
        </row>
        <row r="136">
          <cell r="A136">
            <v>4</v>
          </cell>
          <cell r="B136" t="str">
            <v>AntiVirus Workstation &amp; Server</v>
          </cell>
          <cell r="C136" t="str">
            <v>10000-19999</v>
          </cell>
          <cell r="D136" t="str">
            <v>20000-29999</v>
          </cell>
          <cell r="E136" t="str">
            <v>30000+</v>
          </cell>
        </row>
        <row r="137">
          <cell r="A137">
            <v>5</v>
          </cell>
          <cell r="B137" t="str">
            <v>Utilities</v>
          </cell>
          <cell r="C137" t="str">
            <v>4000-6999</v>
          </cell>
          <cell r="D137" t="str">
            <v>7000-9999</v>
          </cell>
          <cell r="E137" t="str">
            <v>10000-19999</v>
          </cell>
          <cell r="F137" t="str">
            <v>20000+</v>
          </cell>
        </row>
        <row r="138">
          <cell r="A138">
            <v>6</v>
          </cell>
          <cell r="B138" t="str">
            <v>Enterprise Prod. (Server Based)</v>
          </cell>
          <cell r="C138" t="str">
            <v>100-199</v>
          </cell>
          <cell r="D138" t="str">
            <v>200-399</v>
          </cell>
          <cell r="E138" t="str">
            <v>400+</v>
          </cell>
        </row>
        <row r="139">
          <cell r="A139">
            <v>7</v>
          </cell>
          <cell r="B139" t="str">
            <v>Enterprise Prod. (Wkst. Based)</v>
          </cell>
          <cell r="C139" t="str">
            <v>10000-19999</v>
          </cell>
          <cell r="D139" t="str">
            <v>20000+</v>
          </cell>
        </row>
        <row r="140">
          <cell r="A140">
            <v>8</v>
          </cell>
          <cell r="B140" t="str">
            <v>Productivity Applications</v>
          </cell>
          <cell r="C140" t="str">
            <v>500-999</v>
          </cell>
          <cell r="D140" t="str">
            <v>1000-1999</v>
          </cell>
          <cell r="E140" t="str">
            <v>2000-3999</v>
          </cell>
          <cell r="F140" t="str">
            <v>4000-4999</v>
          </cell>
        </row>
        <row r="141">
          <cell r="A141">
            <v>9</v>
          </cell>
          <cell r="B141" t="str">
            <v>Development Tools</v>
          </cell>
          <cell r="C141" t="str">
            <v>500-999</v>
          </cell>
          <cell r="D141" t="str">
            <v>1000-1999</v>
          </cell>
          <cell r="E141" t="str">
            <v>2000-3999</v>
          </cell>
          <cell r="F141" t="str">
            <v>4000+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0062980"/>
      <sheetName val="Input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 ups"/>
      <sheetName val="Summary"/>
      <sheetName val="Bahrain"/>
      <sheetName val="Belgium"/>
      <sheetName val="Czec"/>
      <sheetName val="Egypt"/>
      <sheetName val="France"/>
      <sheetName val="Germany"/>
      <sheetName val="Greece"/>
      <sheetName val="Hungary"/>
      <sheetName val="Ireland"/>
      <sheetName val="Israel"/>
      <sheetName val="Italy"/>
      <sheetName val="Lux"/>
      <sheetName val="Netherlands"/>
      <sheetName val="Nigeria"/>
      <sheetName val="Norway"/>
      <sheetName val="Pakistan"/>
      <sheetName val="Poland"/>
      <sheetName val="Portugal"/>
      <sheetName val="Regional"/>
      <sheetName val="Romania"/>
      <sheetName val="Russia"/>
      <sheetName val="Slovakia"/>
      <sheetName val="Sth Afrika"/>
      <sheetName val="Spain"/>
      <sheetName val="Swiss"/>
      <sheetName val="Turkey"/>
      <sheetName val="UAE"/>
      <sheetName val="UK&amp;NI"/>
      <sheetName val="Ukraine"/>
      <sheetName val="Sheet1"/>
      <sheetName val="Input"/>
      <sheetName val="Reference"/>
    </sheetNames>
    <sheetDataSet>
      <sheetData sheetId="0" refreshError="1">
        <row r="2">
          <cell r="D2" t="str">
            <v>Access Control</v>
          </cell>
        </row>
        <row r="3">
          <cell r="D3" t="str">
            <v>Admin staff - CRS</v>
          </cell>
        </row>
        <row r="4">
          <cell r="D4" t="str">
            <v>Admin staff - non CRS</v>
          </cell>
        </row>
        <row r="5">
          <cell r="D5" t="str">
            <v>Administration</v>
          </cell>
        </row>
        <row r="6">
          <cell r="D6" t="str">
            <v>Bodyshop/Staffing Arrangement/Protocol Serv</v>
          </cell>
        </row>
        <row r="7">
          <cell r="D7" t="str">
            <v>Canopy Cleaning</v>
          </cell>
        </row>
        <row r="8">
          <cell r="D8" t="str">
            <v>Car fleet managment</v>
          </cell>
        </row>
        <row r="9">
          <cell r="D9" t="str">
            <v xml:space="preserve">Catering </v>
          </cell>
        </row>
        <row r="10">
          <cell r="D10" t="str">
            <v>Catering Supplies</v>
          </cell>
        </row>
        <row r="11">
          <cell r="D11" t="str">
            <v>Cleaning</v>
          </cell>
        </row>
        <row r="12">
          <cell r="D12" t="str">
            <v>Cleaning Consumables</v>
          </cell>
        </row>
        <row r="13">
          <cell r="D13" t="str">
            <v>Cleaning External</v>
          </cell>
        </row>
        <row r="14">
          <cell r="D14" t="str">
            <v>Cleaning Façade</v>
          </cell>
        </row>
        <row r="15">
          <cell r="D15" t="str">
            <v>Cleaning Signage</v>
          </cell>
        </row>
        <row r="16">
          <cell r="D16" t="str">
            <v>Confidential waste</v>
          </cell>
        </row>
        <row r="17">
          <cell r="D17" t="str">
            <v>Diesel tank purification</v>
          </cell>
        </row>
        <row r="18">
          <cell r="D18" t="str">
            <v>Elevator/Lift Maintenance</v>
          </cell>
        </row>
        <row r="19">
          <cell r="D19" t="str">
            <v>Energy Mangement</v>
          </cell>
        </row>
        <row r="20">
          <cell r="D20" t="str">
            <v>Environmental and FLS Monitoring</v>
          </cell>
        </row>
        <row r="21">
          <cell r="D21" t="str">
            <v>Facilities Management excl. Service Desk</v>
          </cell>
        </row>
        <row r="22">
          <cell r="D22" t="str">
            <v>Facilities Management incl. Service Desk</v>
          </cell>
        </row>
        <row r="23">
          <cell r="D23" t="str">
            <v>Feminine Hygiene</v>
          </cell>
        </row>
        <row r="24">
          <cell r="D24" t="str">
            <v>Fire Alarm and Extinguisher Maintenance</v>
          </cell>
        </row>
        <row r="25">
          <cell r="D25" t="str">
            <v>FLS maintenance</v>
          </cell>
        </row>
        <row r="26">
          <cell r="D26" t="str">
            <v>Handyman</v>
          </cell>
        </row>
        <row r="27">
          <cell r="D27" t="str">
            <v>Heat Exchanger Units Maintenance</v>
          </cell>
        </row>
        <row r="28">
          <cell r="D28" t="str">
            <v>Helpdesk</v>
          </cell>
        </row>
        <row r="29">
          <cell r="D29" t="str">
            <v>HVAC System Maintenance</v>
          </cell>
        </row>
        <row r="30">
          <cell r="D30" t="str">
            <v xml:space="preserve">Indoor Plants &amp; flowers </v>
          </cell>
        </row>
        <row r="31">
          <cell r="D31" t="str">
            <v>Inventory</v>
          </cell>
        </row>
        <row r="32">
          <cell r="D32" t="str">
            <v>Kitchen Cleaning</v>
          </cell>
        </row>
        <row r="33">
          <cell r="D33" t="str">
            <v>Landscaping &amp; Grounds Maintenance</v>
          </cell>
        </row>
        <row r="34">
          <cell r="D34" t="str">
            <v>Lektriever Maintenance</v>
          </cell>
        </row>
        <row r="35">
          <cell r="D35" t="str">
            <v>M &amp; E Repairs</v>
          </cell>
        </row>
        <row r="36">
          <cell r="D36" t="str">
            <v xml:space="preserve">Mail Room </v>
          </cell>
        </row>
        <row r="37">
          <cell r="D37" t="str">
            <v>Mats</v>
          </cell>
        </row>
        <row r="38">
          <cell r="D38" t="str">
            <v>Mechanical &amp; Electrical Building Maintenance</v>
          </cell>
        </row>
        <row r="39">
          <cell r="D39" t="str">
            <v>Moves and Churn</v>
          </cell>
        </row>
        <row r="40">
          <cell r="D40" t="str">
            <v>Moving Costs</v>
          </cell>
        </row>
        <row r="41">
          <cell r="D41" t="str">
            <v>Nominated Supplier</v>
          </cell>
        </row>
        <row r="42">
          <cell r="D42" t="str">
            <v>Parking Maintenance</v>
          </cell>
        </row>
        <row r="43">
          <cell r="D43" t="str">
            <v xml:space="preserve">Payroll Staff </v>
          </cell>
        </row>
        <row r="44">
          <cell r="D44" t="str">
            <v>Performing Rights</v>
          </cell>
        </row>
        <row r="45">
          <cell r="D45" t="str">
            <v>Pest Control</v>
          </cell>
        </row>
        <row r="46">
          <cell r="D46" t="str">
            <v>Ponds and Aquarium</v>
          </cell>
        </row>
        <row r="47">
          <cell r="D47" t="str">
            <v>Portable Appliance Testing</v>
          </cell>
        </row>
        <row r="48">
          <cell r="D48" t="str">
            <v>Porterage</v>
          </cell>
        </row>
        <row r="49">
          <cell r="D49" t="str">
            <v>Project Management</v>
          </cell>
        </row>
        <row r="50">
          <cell r="D50" t="str">
            <v>Property Management</v>
          </cell>
        </row>
        <row r="51">
          <cell r="D51" t="str">
            <v xml:space="preserve">Reception </v>
          </cell>
        </row>
        <row r="52">
          <cell r="D52" t="str">
            <v xml:space="preserve">Reprographics </v>
          </cell>
        </row>
        <row r="53">
          <cell r="D53" t="str">
            <v>Roller Shutter</v>
          </cell>
        </row>
        <row r="54">
          <cell r="D54" t="str">
            <v>Security</v>
          </cell>
        </row>
        <row r="55">
          <cell r="D55" t="str">
            <v>Servicedesk</v>
          </cell>
        </row>
        <row r="56">
          <cell r="D56" t="str">
            <v>Snow removal</v>
          </cell>
        </row>
        <row r="57">
          <cell r="D57" t="str">
            <v xml:space="preserve">Space Planning </v>
          </cell>
        </row>
        <row r="58">
          <cell r="D58" t="str">
            <v>Spare parts (filters, light bulbs, sockets, etc.)</v>
          </cell>
        </row>
        <row r="59">
          <cell r="D59" t="str">
            <v>Staff Costs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 &amp; Foreigner Breakdown (3)"/>
      <sheetName val="Local &amp; Foreigner Breakdown(GPO"/>
      <sheetName val="Local&amp;Foreigner Breakdown(ISS)"/>
      <sheetName val="Rate Table"/>
      <sheetName val="FWL-calculation"/>
      <sheetName val="CPF"/>
      <sheetName val="FWL"/>
      <sheetName val="Annual Wage Change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 &amp; Foreigner Breakdown (3)"/>
      <sheetName val="Rate Table"/>
      <sheetName val="Local &amp; Foreigner Breakdown-GPO"/>
    </sheetNames>
    <sheetDataSet>
      <sheetData sheetId="0" refreshError="1"/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1"/>
      <sheetName val="Year 2"/>
      <sheetName val="Year 3"/>
      <sheetName val="Year 4 (New)"/>
      <sheetName val="Year 5 (New)"/>
      <sheetName val="Year 6 (New)"/>
      <sheetName val="Refe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oad"/>
      <sheetName val="Control"/>
      <sheetName val="Reference"/>
      <sheetName val="Rate Table"/>
    </sheetNames>
    <sheetDataSet>
      <sheetData sheetId="0" refreshError="1"/>
      <sheetData sheetId="1">
        <row r="11">
          <cell r="J11" t="str">
            <v>AUTOEXP</v>
          </cell>
        </row>
        <row r="12">
          <cell r="J12" t="str">
            <v>DEFAULT</v>
          </cell>
        </row>
        <row r="13">
          <cell r="J13" t="str">
            <v>PACKAGED</v>
          </cell>
        </row>
        <row r="14">
          <cell r="J14" t="str">
            <v>SECURITY A</v>
          </cell>
        </row>
        <row r="15">
          <cell r="J15" t="str">
            <v>SECURITY B</v>
          </cell>
        </row>
        <row r="16">
          <cell r="J16" t="str">
            <v>SECURITY C</v>
          </cell>
        </row>
        <row r="17">
          <cell r="J17" t="str">
            <v>SERVICES</v>
          </cell>
        </row>
        <row r="18">
          <cell r="J18" t="str">
            <v>TECH SUPPORT</v>
          </cell>
        </row>
        <row r="19">
          <cell r="J19" t="str">
            <v>TRAINING</v>
          </cell>
        </row>
        <row r="20">
          <cell r="J20" t="str">
            <v>UTIL ADMIN</v>
          </cell>
        </row>
      </sheetData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Expense Ledger Monthly D"/>
      <sheetName val="Macro1"/>
      <sheetName val="Global_Expense_Ledger_Monthly_D"/>
      <sheetName val="Control"/>
      <sheetName val="Reference"/>
    </sheetNames>
    <sheetDataSet>
      <sheetData sheetId="0"/>
      <sheetData sheetId="1">
        <row r="155">
          <cell r="A155" t="str">
            <v>Recover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Control 12"/>
      <sheetName val="Benchmark"/>
      <sheetName val="(details)"/>
      <sheetName val="water dispenser(DLP expired)"/>
      <sheetName val="benchmarking-FM"/>
      <sheetName val="new"/>
      <sheetName val="benchmarking-cleaning"/>
      <sheetName val="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  <sheetName val="Summary"/>
      <sheetName val="1_TWN"/>
      <sheetName val="1_HKG"/>
      <sheetName val="1_MYS"/>
      <sheetName val="1_SGP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 ups"/>
      <sheetName val="Summary"/>
      <sheetName val="Bahrain"/>
      <sheetName val="Belgium"/>
      <sheetName val="Czec"/>
      <sheetName val="Egypt"/>
      <sheetName val="France"/>
      <sheetName val="Germany"/>
      <sheetName val="Greece"/>
      <sheetName val="Hungary"/>
      <sheetName val="Ireland"/>
      <sheetName val="Israel"/>
      <sheetName val="Italy"/>
      <sheetName val="Lux"/>
      <sheetName val="Netherlands"/>
      <sheetName val="Nigeria"/>
      <sheetName val="Norway"/>
      <sheetName val="Pakistan"/>
      <sheetName val="Poland"/>
      <sheetName val="Portugal"/>
      <sheetName val="Regional"/>
      <sheetName val="Romania"/>
      <sheetName val="Russia"/>
      <sheetName val="Slovakia"/>
      <sheetName val="Sth Afrika"/>
      <sheetName val="Spain"/>
      <sheetName val="Swiss"/>
      <sheetName val="Turkey"/>
      <sheetName val="UAE"/>
      <sheetName val="UK&amp;NI"/>
      <sheetName val="Ukraine"/>
      <sheetName val="Sheet1"/>
      <sheetName val="look_ups"/>
      <sheetName val="Sth_Afrika"/>
      <sheetName val="Reference"/>
    </sheetNames>
    <sheetDataSet>
      <sheetData sheetId="0" refreshError="1">
        <row r="2">
          <cell r="D2" t="str">
            <v>Access Control</v>
          </cell>
        </row>
        <row r="3">
          <cell r="D3" t="str">
            <v>Admin staff - CRS</v>
          </cell>
        </row>
        <row r="4">
          <cell r="D4" t="str">
            <v>Admin staff - non CRS</v>
          </cell>
        </row>
        <row r="5">
          <cell r="D5" t="str">
            <v>Administration</v>
          </cell>
        </row>
        <row r="6">
          <cell r="D6" t="str">
            <v>Bodyshop/Staffing Arrangement/Protocol Serv</v>
          </cell>
        </row>
        <row r="7">
          <cell r="D7" t="str">
            <v>Canopy Cleaning</v>
          </cell>
        </row>
        <row r="8">
          <cell r="D8" t="str">
            <v>Car fleet managment</v>
          </cell>
        </row>
        <row r="9">
          <cell r="D9" t="str">
            <v xml:space="preserve">Catering </v>
          </cell>
        </row>
        <row r="10">
          <cell r="D10" t="str">
            <v>Catering Supplies</v>
          </cell>
        </row>
        <row r="11">
          <cell r="D11" t="str">
            <v>Cleaning</v>
          </cell>
        </row>
        <row r="12">
          <cell r="D12" t="str">
            <v>Cleaning Consumables</v>
          </cell>
        </row>
        <row r="13">
          <cell r="D13" t="str">
            <v>Cleaning External</v>
          </cell>
        </row>
        <row r="14">
          <cell r="D14" t="str">
            <v>Cleaning Façade</v>
          </cell>
        </row>
        <row r="15">
          <cell r="D15" t="str">
            <v>Cleaning Signage</v>
          </cell>
        </row>
        <row r="16">
          <cell r="D16" t="str">
            <v>Confidential waste</v>
          </cell>
        </row>
        <row r="17">
          <cell r="D17" t="str">
            <v>Diesel tank purification</v>
          </cell>
        </row>
        <row r="18">
          <cell r="D18" t="str">
            <v>Elevator/Lift Maintenance</v>
          </cell>
        </row>
        <row r="19">
          <cell r="D19" t="str">
            <v>Energy Mangement</v>
          </cell>
        </row>
        <row r="20">
          <cell r="D20" t="str">
            <v>Environmental and FLS Monitoring</v>
          </cell>
        </row>
        <row r="21">
          <cell r="D21" t="str">
            <v>Facilities Management excl. Service Desk</v>
          </cell>
        </row>
        <row r="22">
          <cell r="D22" t="str">
            <v>Facilities Management incl. Service Desk</v>
          </cell>
        </row>
        <row r="23">
          <cell r="D23" t="str">
            <v>Feminine Hygiene</v>
          </cell>
        </row>
        <row r="24">
          <cell r="D24" t="str">
            <v>Fire Alarm and Extinguisher Maintenance</v>
          </cell>
        </row>
        <row r="25">
          <cell r="D25" t="str">
            <v>FLS maintenance</v>
          </cell>
        </row>
        <row r="26">
          <cell r="D26" t="str">
            <v>Handyman</v>
          </cell>
        </row>
        <row r="27">
          <cell r="D27" t="str">
            <v>Heat Exchanger Units Maintenance</v>
          </cell>
        </row>
        <row r="28">
          <cell r="D28" t="str">
            <v>Helpdesk</v>
          </cell>
        </row>
        <row r="29">
          <cell r="D29" t="str">
            <v>HVAC System Maintenance</v>
          </cell>
        </row>
        <row r="30">
          <cell r="D30" t="str">
            <v xml:space="preserve">Indoor Plants &amp; flowers </v>
          </cell>
        </row>
        <row r="31">
          <cell r="D31" t="str">
            <v>Inventory</v>
          </cell>
        </row>
        <row r="32">
          <cell r="D32" t="str">
            <v>Kitchen Cleaning</v>
          </cell>
        </row>
        <row r="33">
          <cell r="D33" t="str">
            <v>Landscaping &amp; Grounds Maintenance</v>
          </cell>
        </row>
        <row r="34">
          <cell r="D34" t="str">
            <v>Lektriever Maintenance</v>
          </cell>
        </row>
        <row r="35">
          <cell r="D35" t="str">
            <v>M &amp; E Repairs</v>
          </cell>
        </row>
        <row r="36">
          <cell r="D36" t="str">
            <v xml:space="preserve">Mail Room </v>
          </cell>
        </row>
        <row r="37">
          <cell r="D37" t="str">
            <v>Mats</v>
          </cell>
        </row>
        <row r="38">
          <cell r="D38" t="str">
            <v>Mechanical &amp; Electrical Building Maintenance</v>
          </cell>
        </row>
        <row r="39">
          <cell r="D39" t="str">
            <v>Moves and Churn</v>
          </cell>
        </row>
        <row r="40">
          <cell r="D40" t="str">
            <v>Moving Costs</v>
          </cell>
        </row>
        <row r="41">
          <cell r="D41" t="str">
            <v>Nominated Supplier</v>
          </cell>
        </row>
        <row r="42">
          <cell r="D42" t="str">
            <v>Parking Maintenance</v>
          </cell>
        </row>
        <row r="43">
          <cell r="D43" t="str">
            <v xml:space="preserve">Payroll Staff </v>
          </cell>
        </row>
        <row r="44">
          <cell r="D44" t="str">
            <v>Performing Rights</v>
          </cell>
        </row>
        <row r="45">
          <cell r="D45" t="str">
            <v>Pest Control</v>
          </cell>
        </row>
        <row r="46">
          <cell r="D46" t="str">
            <v>Ponds and Aquarium</v>
          </cell>
        </row>
        <row r="47">
          <cell r="D47" t="str">
            <v>Portable Appliance Testing</v>
          </cell>
        </row>
        <row r="48">
          <cell r="D48" t="str">
            <v>Porterage</v>
          </cell>
        </row>
        <row r="49">
          <cell r="D49" t="str">
            <v>Project Management</v>
          </cell>
        </row>
        <row r="50">
          <cell r="D50" t="str">
            <v>Property Management</v>
          </cell>
        </row>
        <row r="51">
          <cell r="D51" t="str">
            <v xml:space="preserve">Reception </v>
          </cell>
        </row>
        <row r="52">
          <cell r="D52" t="str">
            <v xml:space="preserve">Reprographics </v>
          </cell>
        </row>
        <row r="53">
          <cell r="D53" t="str">
            <v>Roller Shutter</v>
          </cell>
        </row>
        <row r="54">
          <cell r="D54" t="str">
            <v>Security</v>
          </cell>
        </row>
        <row r="55">
          <cell r="D55" t="str">
            <v>Servicedesk</v>
          </cell>
        </row>
        <row r="56">
          <cell r="D56" t="str">
            <v>Snow removal</v>
          </cell>
        </row>
        <row r="57">
          <cell r="D57" t="str">
            <v xml:space="preserve">Space Planning </v>
          </cell>
        </row>
        <row r="58">
          <cell r="D58" t="str">
            <v>Spare parts (filters, light bulbs, sockets, etc.)</v>
          </cell>
        </row>
        <row r="59">
          <cell r="D59" t="str">
            <v>Staff Costs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2">
          <cell r="D2" t="str">
            <v>Access Control</v>
          </cell>
        </row>
      </sheetData>
      <sheetData sheetId="33"/>
      <sheetData sheetId="3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ERP"/>
      <sheetName val="Resell"/>
      <sheetName val="D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K baseline"/>
      <sheetName val="detail process"/>
      <sheetName val="mapped scope matrix"/>
      <sheetName val="SOW service matrix"/>
    </sheetNames>
    <sheetDataSet>
      <sheetData sheetId="0"/>
      <sheetData sheetId="1"/>
      <sheetData sheetId="2"/>
      <sheetData sheetId="3">
        <row r="1">
          <cell r="A1" t="str">
            <v>Facilities Management</v>
          </cell>
        </row>
        <row r="2">
          <cell r="A2" t="str">
            <v>Generation and Distribution of Utilties</v>
          </cell>
        </row>
        <row r="3">
          <cell r="A3" t="str">
            <v>Basic Facilities Management</v>
          </cell>
        </row>
        <row r="4">
          <cell r="A4" t="str">
            <v>New Facilities Initiatives Support</v>
          </cell>
        </row>
        <row r="5">
          <cell r="A5" t="str">
            <v>Remodeling and Furnishing</v>
          </cell>
        </row>
        <row r="6">
          <cell r="A6" t="str">
            <v>Parking operations</v>
          </cell>
        </row>
        <row r="7">
          <cell r="A7" t="str">
            <v>Vendor Management</v>
          </cell>
        </row>
        <row r="8">
          <cell r="A8" t="str">
            <v>Inventory Management</v>
          </cell>
        </row>
        <row r="9">
          <cell r="A9" t="str">
            <v>External Window Washing</v>
          </cell>
        </row>
        <row r="10">
          <cell r="A10" t="str">
            <v>Shredding and Secure Waste Disposal</v>
          </cell>
        </row>
        <row r="11">
          <cell r="A11" t="str">
            <v>Signage Cleaning</v>
          </cell>
        </row>
        <row r="12">
          <cell r="A12" t="str">
            <v>Utility Management</v>
          </cell>
        </row>
        <row r="13">
          <cell r="A13" t="str">
            <v>Computerized Maintenance Management System</v>
          </cell>
        </row>
        <row r="14">
          <cell r="A14" t="str">
            <v>Consumables Integrated Supply</v>
          </cell>
        </row>
        <row r="15">
          <cell r="A15" t="str">
            <v>Lawn and Roads</v>
          </cell>
        </row>
        <row r="16">
          <cell r="A16" t="str">
            <v>Cleaning, Waste Removal and Pest Control</v>
          </cell>
        </row>
        <row r="17">
          <cell r="A17" t="str">
            <v>Responsibilities within Project Management Process</v>
          </cell>
        </row>
        <row r="18">
          <cell r="A18" t="str">
            <v xml:space="preserve">REMS and Facility Management Applications </v>
          </cell>
        </row>
        <row r="19">
          <cell r="A19" t="str">
            <v>Supporting Activities</v>
          </cell>
        </row>
        <row r="20">
          <cell r="A20" t="str">
            <v>Request Management Support</v>
          </cell>
        </row>
        <row r="21">
          <cell r="A21" t="str">
            <v>Change Management</v>
          </cell>
        </row>
        <row r="22">
          <cell r="A22" t="str">
            <v>Facilities Procurement</v>
          </cell>
        </row>
        <row r="23">
          <cell r="A23" t="str">
            <v>Catering Equipment and Maintenance</v>
          </cell>
        </row>
        <row r="24">
          <cell r="A24" t="str">
            <v>Food, Beverage and Catering Service Requests</v>
          </cell>
        </row>
        <row r="25">
          <cell r="A25" t="str">
            <v>Critical Facilities Management</v>
          </cell>
        </row>
        <row r="26">
          <cell r="A26" t="str">
            <v>Communication and Notification</v>
          </cell>
        </row>
        <row r="27">
          <cell r="A27" t="str">
            <v>Data Centre Facility Management</v>
          </cell>
        </row>
        <row r="28">
          <cell r="A28" t="str">
            <v>Sustainability</v>
          </cell>
        </row>
        <row r="29">
          <cell r="A29" t="str">
            <v>Environmental and Sustainability Management</v>
          </cell>
        </row>
        <row r="30">
          <cell r="A30" t="str">
            <v>Energy Management</v>
          </cell>
        </row>
        <row r="31">
          <cell r="A31" t="str">
            <v>Health and Safety</v>
          </cell>
        </row>
        <row r="32">
          <cell r="A32" t="str">
            <v>Health and Safety</v>
          </cell>
        </row>
        <row r="33">
          <cell r="A33" t="str">
            <v>Technical Safety</v>
          </cell>
        </row>
        <row r="34">
          <cell r="A34" t="str">
            <v>Industrial Safety</v>
          </cell>
        </row>
        <row r="35">
          <cell r="A35" t="str">
            <v>Fire Protection and Emergency Response Team</v>
          </cell>
        </row>
        <row r="36">
          <cell r="A36" t="str">
            <v>Fire Life Safety System</v>
          </cell>
        </row>
        <row r="37">
          <cell r="A37" t="str">
            <v>Emergency and Security Lighting</v>
          </cell>
        </row>
        <row r="38">
          <cell r="A38" t="str">
            <v>Security Doors</v>
          </cell>
        </row>
        <row r="39">
          <cell r="A39" t="str">
            <v>Compliance</v>
          </cell>
        </row>
        <row r="40">
          <cell r="A40" t="str">
            <v>Compliance with Regulations and Standards</v>
          </cell>
        </row>
        <row r="41">
          <cell r="A41" t="str">
            <v>Operational Safety Regulation Compliance</v>
          </cell>
        </row>
        <row r="42">
          <cell r="A42" t="str">
            <v>Continuity of Business and Disaster Management</v>
          </cell>
        </row>
        <row r="43">
          <cell r="A43" t="str">
            <v>Environmental Risk Management</v>
          </cell>
        </row>
        <row r="44">
          <cell r="A44" t="str">
            <v>Others</v>
          </cell>
        </row>
        <row r="45">
          <cell r="A45" t="str">
            <v>Tenant Management Services</v>
          </cell>
        </row>
        <row r="46">
          <cell r="A46" t="str">
            <v>Records Management</v>
          </cell>
        </row>
        <row r="47">
          <cell r="A47" t="str">
            <v>Artwork Management</v>
          </cell>
        </row>
      </sheetData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  <sheetName val="No 3 Citi Baseline Summary"/>
      <sheetName val="CR016"/>
      <sheetName val="CR015"/>
      <sheetName val="CR006"/>
      <sheetName val="CR017"/>
      <sheetName val="CR012"/>
      <sheetName val="CR011"/>
      <sheetName val="CR010"/>
      <sheetName val="CR009"/>
      <sheetName val="CR008"/>
      <sheetName val="CR005"/>
      <sheetName val="CR007"/>
      <sheetName val="CR004"/>
      <sheetName val="CR002"/>
      <sheetName val="CR003"/>
      <sheetName val="CR013"/>
      <sheetName val="CR014"/>
      <sheetName val="Supporting Documentation "/>
      <sheetName val="ref MOM-income (backgroun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rewall &amp; VPN"/>
      <sheetName val="AntiVirus &amp; Filtering"/>
      <sheetName val="Vulnerability Management"/>
      <sheetName val="Intrusion Detection"/>
      <sheetName val="Enterprise Administration"/>
      <sheetName val="Desktop Utilities"/>
      <sheetName val="SIN Lookups"/>
      <sheetName val="Media Packs"/>
      <sheetName val="Security Management System"/>
      <sheetName val="Integrated Secur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by country"/>
      <sheetName val="Savings list"/>
    </sheetNames>
    <sheetDataSet>
      <sheetData sheetId="0"/>
      <sheetData sheetId="1"/>
      <sheetData sheetId="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 uplift on Locked Baseline"/>
      <sheetName val="look ups"/>
      <sheetName val="Summary"/>
      <sheetName val="Bahrain"/>
      <sheetName val="Belgium"/>
      <sheetName val="Czec"/>
      <sheetName val="Egypt"/>
      <sheetName val="France"/>
      <sheetName val="Germany"/>
      <sheetName val="Greece"/>
      <sheetName val="Hungary"/>
      <sheetName val="Ireland"/>
      <sheetName val="Israel"/>
      <sheetName val="Italy"/>
      <sheetName val="Lux"/>
      <sheetName val="Netherlands"/>
      <sheetName val="Nigeria"/>
      <sheetName val="Pakistan"/>
      <sheetName val="Poland"/>
      <sheetName val="Portugal"/>
      <sheetName val="Regional"/>
      <sheetName val="Romania"/>
      <sheetName val="Russia"/>
      <sheetName val="Slovakia"/>
      <sheetName val="Sth Afrika"/>
      <sheetName val="Spain"/>
      <sheetName val="Swiss"/>
      <sheetName val="Turkey"/>
      <sheetName val="UAE"/>
      <sheetName val="UK&amp;NI"/>
      <sheetName val="Ukraine"/>
      <sheetName val="Sheet1"/>
      <sheetName val="2012_uplift_on_Locked_Baseline"/>
      <sheetName val="look_ups"/>
      <sheetName val="Sth_Afrik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!!"/>
      <sheetName val="Input"/>
      <sheetName val="Summary"/>
      <sheetName val="Reference"/>
      <sheetName val="Vertical Pricing"/>
      <sheetName val="Notification"/>
      <sheetName val="look ups"/>
      <sheetName val="lookup"/>
    </sheetNames>
    <sheetDataSet>
      <sheetData sheetId="0" refreshError="1"/>
      <sheetData sheetId="1" refreshError="1">
        <row r="14">
          <cell r="C14" t="str">
            <v>12-00-02587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ckie Tan Xiang Chen" id="{A229246B-C11E-4BF4-BF4D-BD6F93F9322F}" userId="S::Jackie.Tan@uemsgroup.com::13d1cc73-7d18-4ebf-b605-1b6cfe281ff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A4" dT="2026-07-31T07:24:10.66" personId="{A229246B-C11E-4BF4-BF4D-BD6F93F9322F}" id="{B5F89F6D-55F3-4E86-BB47-88D199E36D18}">
    <text>Non Coverage to input as 1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F475B4-2092-4725-9712-0B1F11BDC842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US@Home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US@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C7D5-AE36-4FAD-BECB-A45A08BE1ACD}">
  <dimension ref="A1:BE280"/>
  <sheetViews>
    <sheetView topLeftCell="A3" zoomScale="70" zoomScaleNormal="70" workbookViewId="0">
      <pane xSplit="14" ySplit="2" topLeftCell="W5" activePane="bottomRight" state="frozen"/>
      <selection pane="topRight" activeCell="A3" sqref="A3:N3"/>
      <selection pane="bottomLeft" activeCell="A3" sqref="A3:N3"/>
      <selection pane="bottomRight" activeCell="A3" sqref="A3:N3"/>
    </sheetView>
  </sheetViews>
  <sheetFormatPr defaultColWidth="9.1796875" defaultRowHeight="15.5" x14ac:dyDescent="0.35"/>
  <cols>
    <col min="1" max="1" width="5.7265625" style="6" bestFit="1" customWidth="1"/>
    <col min="2" max="2" width="5.7265625" style="2" hidden="1" customWidth="1"/>
    <col min="3" max="3" width="34.453125" style="5" customWidth="1"/>
    <col min="4" max="4" width="3" style="4" hidden="1" customWidth="1"/>
    <col min="5" max="5" width="19.81640625" style="2" customWidth="1"/>
    <col min="6" max="6" width="18.1796875" style="3" customWidth="1"/>
    <col min="7" max="7" width="13" style="3" hidden="1" customWidth="1"/>
    <col min="8" max="8" width="9.7265625" style="3" hidden="1" customWidth="1"/>
    <col min="9" max="9" width="13.453125" style="3" hidden="1" customWidth="1"/>
    <col min="10" max="10" width="7.26953125" style="3" hidden="1" customWidth="1"/>
    <col min="11" max="11" width="31.1796875" style="3" hidden="1" customWidth="1"/>
    <col min="12" max="12" width="14.26953125" style="3" hidden="1" customWidth="1"/>
    <col min="13" max="13" width="13" style="3" hidden="1" customWidth="1"/>
    <col min="14" max="14" width="9.54296875" style="3" hidden="1" customWidth="1"/>
    <col min="15" max="15" width="4.7265625" style="3" hidden="1" customWidth="1"/>
    <col min="16" max="16" width="73" style="7" hidden="1" customWidth="1"/>
    <col min="17" max="17" width="12.453125" style="8" hidden="1" customWidth="1"/>
    <col min="18" max="18" width="11.54296875" style="8" hidden="1" customWidth="1"/>
    <col min="19" max="19" width="12.453125" style="8" hidden="1" customWidth="1"/>
    <col min="20" max="20" width="11.54296875" style="8" hidden="1" customWidth="1"/>
    <col min="21" max="21" width="8.54296875" style="8" hidden="1" customWidth="1"/>
    <col min="22" max="22" width="19.81640625" style="8" hidden="1" customWidth="1"/>
    <col min="23" max="23" width="26.81640625" style="12" bestFit="1" customWidth="1"/>
    <col min="24" max="25" width="7.1796875" style="9" bestFit="1" customWidth="1"/>
    <col min="26" max="27" width="16.26953125" style="10" hidden="1" customWidth="1"/>
    <col min="28" max="28" width="26.81640625" style="12" bestFit="1" customWidth="1"/>
    <col min="29" max="30" width="7.1796875" style="9" bestFit="1" customWidth="1"/>
    <col min="31" max="32" width="16.26953125" style="10" hidden="1" customWidth="1"/>
    <col min="33" max="33" width="26.81640625" style="12" bestFit="1" customWidth="1"/>
    <col min="34" max="35" width="7.1796875" style="9" bestFit="1" customWidth="1"/>
    <col min="36" max="37" width="16.26953125" style="10" hidden="1" customWidth="1"/>
    <col min="38" max="38" width="26.81640625" style="12" bestFit="1" customWidth="1"/>
    <col min="39" max="40" width="7.1796875" style="9" bestFit="1" customWidth="1"/>
    <col min="41" max="42" width="16.26953125" style="10" hidden="1" customWidth="1"/>
    <col min="43" max="43" width="26.81640625" style="12" bestFit="1" customWidth="1"/>
    <col min="44" max="45" width="7.1796875" style="9" bestFit="1" customWidth="1"/>
    <col min="46" max="47" width="16.26953125" style="10" hidden="1" customWidth="1"/>
    <col min="48" max="48" width="26.81640625" style="12" bestFit="1" customWidth="1"/>
    <col min="49" max="50" width="7.1796875" style="9" bestFit="1" customWidth="1"/>
    <col min="51" max="52" width="16.26953125" style="10" hidden="1" customWidth="1"/>
    <col min="53" max="53" width="12.1796875" style="10" bestFit="1" customWidth="1"/>
    <col min="54" max="55" width="18.26953125" style="13" hidden="1" customWidth="1"/>
    <col min="56" max="56" width="17.81640625" style="13" hidden="1" customWidth="1"/>
    <col min="57" max="57" width="33.1796875" style="9" customWidth="1"/>
    <col min="58" max="16384" width="9.1796875" style="2"/>
  </cols>
  <sheetData>
    <row r="1" spans="1:57" s="31" customFormat="1" hidden="1" x14ac:dyDescent="0.35">
      <c r="A1" s="22"/>
      <c r="B1" s="23"/>
      <c r="C1" s="22"/>
      <c r="D1" s="22"/>
      <c r="E1" s="23"/>
      <c r="F1" s="23"/>
      <c r="G1" s="23"/>
      <c r="H1" s="23"/>
      <c r="I1" s="23"/>
      <c r="J1" s="22"/>
      <c r="K1" s="24"/>
      <c r="L1" s="24"/>
      <c r="M1" s="24"/>
      <c r="N1" s="24"/>
      <c r="O1" s="24"/>
      <c r="P1" s="25"/>
      <c r="Q1" s="26"/>
      <c r="R1" s="26"/>
      <c r="S1" s="26"/>
      <c r="T1" s="26"/>
      <c r="U1" s="26"/>
      <c r="V1" s="26"/>
      <c r="W1" s="27"/>
      <c r="X1" s="28"/>
      <c r="Y1" s="28"/>
      <c r="Z1" s="29"/>
      <c r="AA1" s="29"/>
      <c r="AB1" s="27"/>
      <c r="AC1" s="28"/>
      <c r="AD1" s="28"/>
      <c r="AE1" s="29"/>
      <c r="AF1" s="29"/>
      <c r="AG1" s="27"/>
      <c r="AH1" s="28"/>
      <c r="AI1" s="28"/>
      <c r="AJ1" s="29"/>
      <c r="AK1" s="29"/>
      <c r="AL1" s="27"/>
      <c r="AM1" s="28"/>
      <c r="AN1" s="28"/>
      <c r="AO1" s="29"/>
      <c r="AP1" s="29"/>
      <c r="AQ1" s="27"/>
      <c r="AR1" s="28"/>
      <c r="AS1" s="28"/>
      <c r="AT1" s="29"/>
      <c r="AU1" s="29"/>
      <c r="AV1" s="27"/>
      <c r="AW1" s="28"/>
      <c r="AX1" s="28"/>
      <c r="AY1" s="29"/>
      <c r="AZ1" s="29"/>
      <c r="BA1" s="29"/>
      <c r="BB1" s="30"/>
      <c r="BC1" s="30"/>
      <c r="BD1" s="30"/>
      <c r="BE1" s="28"/>
    </row>
    <row r="2" spans="1:57" s="31" customFormat="1" hidden="1" x14ac:dyDescent="0.35">
      <c r="A2" s="32"/>
      <c r="B2" s="33"/>
      <c r="C2" s="32"/>
      <c r="D2" s="32"/>
      <c r="E2" s="238" t="s">
        <v>0</v>
      </c>
      <c r="F2" s="238"/>
      <c r="G2" s="238"/>
      <c r="H2" s="238"/>
      <c r="I2" s="238"/>
      <c r="J2" s="238"/>
      <c r="K2" s="238"/>
      <c r="L2" s="34"/>
      <c r="M2" s="34"/>
      <c r="N2" s="34"/>
      <c r="O2" s="32"/>
      <c r="P2" s="25"/>
      <c r="Q2" s="26"/>
      <c r="R2" s="26"/>
      <c r="S2" s="26"/>
      <c r="T2" s="26"/>
      <c r="U2" s="26"/>
      <c r="V2" s="26"/>
      <c r="W2" s="27"/>
      <c r="X2" s="28"/>
      <c r="Y2" s="28"/>
      <c r="Z2" s="29"/>
      <c r="AA2" s="29"/>
      <c r="AB2" s="27"/>
      <c r="AC2" s="28"/>
      <c r="AD2" s="28"/>
      <c r="AE2" s="29"/>
      <c r="AF2" s="29"/>
      <c r="AG2" s="27"/>
      <c r="AH2" s="28"/>
      <c r="AI2" s="28"/>
      <c r="AJ2" s="29"/>
      <c r="AK2" s="29"/>
      <c r="AL2" s="27"/>
      <c r="AM2" s="28"/>
      <c r="AN2" s="28"/>
      <c r="AO2" s="29"/>
      <c r="AP2" s="29"/>
      <c r="AQ2" s="27"/>
      <c r="AR2" s="28"/>
      <c r="AS2" s="28"/>
      <c r="AT2" s="29"/>
      <c r="AU2" s="29"/>
      <c r="AV2" s="27"/>
      <c r="AW2" s="28"/>
      <c r="AX2" s="28"/>
      <c r="AY2" s="29"/>
      <c r="AZ2" s="29"/>
      <c r="BA2" s="29"/>
      <c r="BB2" s="30"/>
      <c r="BC2" s="30"/>
      <c r="BD2" s="30"/>
      <c r="BE2" s="28"/>
    </row>
    <row r="3" spans="1:57" s="213" customFormat="1" ht="19" thickBot="1" x14ac:dyDescent="0.4">
      <c r="A3" s="239" t="s">
        <v>1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362" t="s">
        <v>2</v>
      </c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  <c r="AL3" s="363"/>
      <c r="AM3" s="363"/>
      <c r="AN3" s="363"/>
      <c r="AO3" s="363"/>
      <c r="AP3" s="363"/>
      <c r="AQ3" s="363"/>
      <c r="AR3" s="363"/>
      <c r="AS3" s="363"/>
      <c r="AT3" s="363"/>
      <c r="AU3" s="363"/>
      <c r="AV3" s="363"/>
      <c r="AW3" s="363"/>
      <c r="AX3" s="363"/>
      <c r="AY3" s="363"/>
      <c r="AZ3" s="363"/>
      <c r="BA3" s="363"/>
      <c r="BB3" s="363"/>
      <c r="BC3" s="363"/>
      <c r="BD3" s="363"/>
      <c r="BE3" s="363"/>
    </row>
    <row r="4" spans="1:57" s="31" customFormat="1" ht="31.5" thickBot="1" x14ac:dyDescent="0.4">
      <c r="A4" s="35" t="s">
        <v>3</v>
      </c>
      <c r="B4" s="35" t="s">
        <v>4</v>
      </c>
      <c r="C4" s="36" t="s">
        <v>5</v>
      </c>
      <c r="D4" s="35" t="s">
        <v>6</v>
      </c>
      <c r="E4" s="36" t="s">
        <v>7</v>
      </c>
      <c r="F4" s="36" t="s">
        <v>8</v>
      </c>
      <c r="G4" s="35" t="s">
        <v>9</v>
      </c>
      <c r="H4" s="36" t="s">
        <v>10</v>
      </c>
      <c r="I4" s="36" t="s">
        <v>11</v>
      </c>
      <c r="J4" s="35" t="s">
        <v>12</v>
      </c>
      <c r="K4" s="37" t="s">
        <v>13</v>
      </c>
      <c r="L4" s="38" t="s">
        <v>14</v>
      </c>
      <c r="M4" s="38" t="s">
        <v>15</v>
      </c>
      <c r="N4" s="38" t="s">
        <v>16</v>
      </c>
      <c r="O4" s="39" t="s">
        <v>17</v>
      </c>
      <c r="P4" s="40" t="s">
        <v>18</v>
      </c>
      <c r="Q4" s="41" t="s">
        <v>7</v>
      </c>
      <c r="R4" s="41" t="s">
        <v>8</v>
      </c>
      <c r="S4" s="41" t="s">
        <v>7</v>
      </c>
      <c r="T4" s="41" t="s">
        <v>8</v>
      </c>
      <c r="U4" s="41" t="s">
        <v>19</v>
      </c>
      <c r="V4" s="42" t="s">
        <v>20</v>
      </c>
      <c r="W4" s="43" t="s">
        <v>21</v>
      </c>
      <c r="X4" s="44" t="s">
        <v>22</v>
      </c>
      <c r="Y4" s="45" t="s">
        <v>23</v>
      </c>
      <c r="Z4" s="46" t="s">
        <v>24</v>
      </c>
      <c r="AA4" s="46" t="s">
        <v>25</v>
      </c>
      <c r="AB4" s="43" t="s">
        <v>26</v>
      </c>
      <c r="AC4" s="44" t="s">
        <v>22</v>
      </c>
      <c r="AD4" s="44" t="s">
        <v>23</v>
      </c>
      <c r="AE4" s="46" t="s">
        <v>24</v>
      </c>
      <c r="AF4" s="46" t="s">
        <v>25</v>
      </c>
      <c r="AG4" s="43" t="s">
        <v>27</v>
      </c>
      <c r="AH4" s="44" t="s">
        <v>22</v>
      </c>
      <c r="AI4" s="45" t="s">
        <v>23</v>
      </c>
      <c r="AJ4" s="46" t="s">
        <v>24</v>
      </c>
      <c r="AK4" s="46" t="s">
        <v>25</v>
      </c>
      <c r="AL4" s="43" t="s">
        <v>28</v>
      </c>
      <c r="AM4" s="44" t="s">
        <v>22</v>
      </c>
      <c r="AN4" s="45" t="s">
        <v>23</v>
      </c>
      <c r="AO4" s="46" t="s">
        <v>24</v>
      </c>
      <c r="AP4" s="46" t="s">
        <v>25</v>
      </c>
      <c r="AQ4" s="43" t="s">
        <v>29</v>
      </c>
      <c r="AR4" s="44" t="s">
        <v>22</v>
      </c>
      <c r="AS4" s="45" t="s">
        <v>23</v>
      </c>
      <c r="AT4" s="46" t="s">
        <v>24</v>
      </c>
      <c r="AU4" s="46" t="s">
        <v>25</v>
      </c>
      <c r="AV4" s="43" t="s">
        <v>30</v>
      </c>
      <c r="AW4" s="44" t="s">
        <v>22</v>
      </c>
      <c r="AX4" s="45" t="s">
        <v>23</v>
      </c>
      <c r="AY4" s="46" t="s">
        <v>24</v>
      </c>
      <c r="AZ4" s="46" t="s">
        <v>25</v>
      </c>
      <c r="BA4" s="47" t="s">
        <v>31</v>
      </c>
      <c r="BB4" s="48" t="s">
        <v>32</v>
      </c>
      <c r="BC4" s="46" t="s">
        <v>33</v>
      </c>
      <c r="BD4" s="49" t="s">
        <v>34</v>
      </c>
      <c r="BE4" s="50" t="s">
        <v>35</v>
      </c>
    </row>
    <row r="5" spans="1:57" s="31" customFormat="1" ht="17.5" customHeight="1" x14ac:dyDescent="0.35">
      <c r="A5" s="241">
        <v>1</v>
      </c>
      <c r="B5" s="242" t="s">
        <v>36</v>
      </c>
      <c r="C5" s="245" t="s">
        <v>37</v>
      </c>
      <c r="D5" s="245" t="s">
        <v>38</v>
      </c>
      <c r="E5" s="246" t="s">
        <v>39</v>
      </c>
      <c r="F5" s="246" t="s">
        <v>40</v>
      </c>
      <c r="G5" s="249">
        <v>4</v>
      </c>
      <c r="H5" s="249">
        <v>8</v>
      </c>
      <c r="I5" s="256">
        <v>32</v>
      </c>
      <c r="J5" s="261">
        <f>I16/8</f>
        <v>6.25</v>
      </c>
      <c r="K5" s="273" t="s">
        <v>41</v>
      </c>
      <c r="L5" s="54">
        <v>4</v>
      </c>
      <c r="M5" s="237">
        <f>L16/8</f>
        <v>5.875</v>
      </c>
      <c r="N5" s="237">
        <f>SUM(BD5:BD15)/8</f>
        <v>5.875</v>
      </c>
      <c r="O5" s="55">
        <v>1</v>
      </c>
      <c r="P5" s="56" t="s">
        <v>42</v>
      </c>
      <c r="Q5" s="57">
        <v>0.33333333333333331</v>
      </c>
      <c r="R5" s="57">
        <v>0.66666666666666663</v>
      </c>
      <c r="S5" s="57"/>
      <c r="T5" s="57"/>
      <c r="U5" s="118"/>
      <c r="V5" s="58" t="s">
        <v>43</v>
      </c>
      <c r="W5" s="59"/>
      <c r="X5" s="60"/>
      <c r="Y5" s="61"/>
      <c r="Z5" s="29">
        <f t="shared" ref="Z5:Z24" si="0">(Y5-X5)*24</f>
        <v>0</v>
      </c>
      <c r="AA5" s="64">
        <f>IF(Z5&gt;=6, (Z5-1), IF(Z5&lt;6, Z5))</f>
        <v>0</v>
      </c>
      <c r="AB5" s="59"/>
      <c r="AC5" s="60"/>
      <c r="AD5" s="60"/>
      <c r="AE5" s="229">
        <f t="shared" ref="AE5:AE6" si="1">(AD5-AC5)*24</f>
        <v>0</v>
      </c>
      <c r="AF5" s="64">
        <f>IF(AE5&gt;=6, (AE5-1), IF(AE5&lt;6, AE5))</f>
        <v>0</v>
      </c>
      <c r="AG5" s="59"/>
      <c r="AH5" s="60"/>
      <c r="AI5" s="61"/>
      <c r="AJ5" s="29">
        <f t="shared" ref="AJ5:AJ6" si="2">(AI5-AH5)*24</f>
        <v>0</v>
      </c>
      <c r="AK5" s="64">
        <f>IF(AJ5&gt;=6, (AJ5-1), IF(AJ5&lt;6, AJ5))</f>
        <v>0</v>
      </c>
      <c r="AL5" s="59"/>
      <c r="AM5" s="60"/>
      <c r="AN5" s="61"/>
      <c r="AO5" s="29">
        <f t="shared" ref="AO5:AO6" si="3">(AN5-AM5)*24</f>
        <v>0</v>
      </c>
      <c r="AP5" s="64">
        <f>IF(AO5&gt;=6, (AO5-1), IF(AO5&lt;6, AO5))</f>
        <v>0</v>
      </c>
      <c r="AQ5" s="59"/>
      <c r="AR5" s="60"/>
      <c r="AS5" s="61"/>
      <c r="AT5" s="29">
        <f t="shared" ref="AT5:AT6" si="4">(AS5-AR5)*24</f>
        <v>0</v>
      </c>
      <c r="AU5" s="64">
        <f>IF(AT5&gt;=6, (AT5-1), IF(AT5&lt;6, AT5))</f>
        <v>0</v>
      </c>
      <c r="AV5" s="59"/>
      <c r="AW5" s="60"/>
      <c r="AX5" s="61"/>
      <c r="AY5" s="29">
        <f t="shared" ref="AY5:AY6" si="5">(AX5-AW5)*24</f>
        <v>0</v>
      </c>
      <c r="AZ5" s="64">
        <f>IF(AY5&gt;=6, (AY5-1), IF(AY5&lt;6, AY5))</f>
        <v>0</v>
      </c>
      <c r="BA5" s="62"/>
      <c r="BB5" s="63">
        <f>AA5+AF5+AK5+AP5+AU5+AZ5</f>
        <v>0</v>
      </c>
      <c r="BC5" s="13">
        <f t="shared" ref="BC5:BC15" si="6">IF(BB5&gt;0, BB5, IF(BB5=0, L5))</f>
        <v>4</v>
      </c>
      <c r="BD5" s="64">
        <f t="shared" ref="BD5:BD15" si="7">IF(BA5=1, (BC5-L5), IF(BA5=0, BC5))</f>
        <v>4</v>
      </c>
      <c r="BE5" s="65"/>
    </row>
    <row r="6" spans="1:57" s="31" customFormat="1" ht="17.5" customHeight="1" x14ac:dyDescent="0.35">
      <c r="A6" s="241"/>
      <c r="B6" s="243"/>
      <c r="C6" s="245"/>
      <c r="D6" s="245"/>
      <c r="E6" s="247"/>
      <c r="F6" s="247"/>
      <c r="G6" s="250"/>
      <c r="H6" s="250"/>
      <c r="I6" s="257"/>
      <c r="J6" s="262"/>
      <c r="K6" s="274"/>
      <c r="L6" s="54">
        <v>4</v>
      </c>
      <c r="M6" s="237"/>
      <c r="N6" s="237"/>
      <c r="O6" s="66">
        <v>2</v>
      </c>
      <c r="P6" s="67" t="s">
        <v>44</v>
      </c>
      <c r="Q6" s="26">
        <v>0.33333333333333331</v>
      </c>
      <c r="R6" s="26">
        <v>0.66666666666666663</v>
      </c>
      <c r="S6" s="26"/>
      <c r="T6" s="26"/>
      <c r="U6" s="118"/>
      <c r="V6" s="69" t="s">
        <v>43</v>
      </c>
      <c r="W6" s="70"/>
      <c r="X6" s="71"/>
      <c r="Y6" s="72"/>
      <c r="Z6" s="29">
        <f t="shared" si="0"/>
        <v>0</v>
      </c>
      <c r="AA6" s="64">
        <f t="shared" ref="AA6:AA24" si="8">IF(Z6&gt;=6, (Z6-1), IF(Z6&lt;6, Z6))</f>
        <v>0</v>
      </c>
      <c r="AB6" s="70"/>
      <c r="AC6" s="71"/>
      <c r="AD6" s="71"/>
      <c r="AE6" s="62">
        <f t="shared" si="1"/>
        <v>0</v>
      </c>
      <c r="AF6" s="64">
        <f t="shared" ref="AF6:AF24" si="9">IF(AE6&gt;=6, (AE6-1), IF(AE6&lt;6, AE6))</f>
        <v>0</v>
      </c>
      <c r="AG6" s="70"/>
      <c r="AH6" s="71"/>
      <c r="AI6" s="72"/>
      <c r="AJ6" s="29">
        <f t="shared" si="2"/>
        <v>0</v>
      </c>
      <c r="AK6" s="64">
        <f t="shared" ref="AK6:AK24" si="10">IF(AJ6&gt;=6, (AJ6-1), IF(AJ6&lt;6, AJ6))</f>
        <v>0</v>
      </c>
      <c r="AL6" s="70"/>
      <c r="AM6" s="71"/>
      <c r="AN6" s="72"/>
      <c r="AO6" s="29">
        <f t="shared" si="3"/>
        <v>0</v>
      </c>
      <c r="AP6" s="64">
        <f t="shared" ref="AP6:AP24" si="11">IF(AO6&gt;=6, (AO6-1), IF(AO6&lt;6, AO6))</f>
        <v>0</v>
      </c>
      <c r="AQ6" s="70"/>
      <c r="AR6" s="71"/>
      <c r="AS6" s="72"/>
      <c r="AT6" s="29">
        <f t="shared" si="4"/>
        <v>0</v>
      </c>
      <c r="AU6" s="64">
        <f t="shared" ref="AU6:AU24" si="12">IF(AT6&gt;=6, (AT6-1), IF(AT6&lt;6, AT6))</f>
        <v>0</v>
      </c>
      <c r="AV6" s="70"/>
      <c r="AW6" s="71"/>
      <c r="AX6" s="72"/>
      <c r="AY6" s="29">
        <f t="shared" si="5"/>
        <v>0</v>
      </c>
      <c r="AZ6" s="64">
        <f t="shared" ref="AZ6:AZ24" si="13">IF(AY6&gt;=6, (AY6-1), IF(AY6&lt;6, AY6))</f>
        <v>0</v>
      </c>
      <c r="BA6" s="62"/>
      <c r="BB6" s="63">
        <f t="shared" ref="BB6:BB15" si="14">AA6+AF6+AK6+AP6+AU6+AZ6</f>
        <v>0</v>
      </c>
      <c r="BC6" s="13">
        <f t="shared" si="6"/>
        <v>4</v>
      </c>
      <c r="BD6" s="64">
        <f t="shared" si="7"/>
        <v>4</v>
      </c>
      <c r="BE6" s="73"/>
    </row>
    <row r="7" spans="1:57" s="31" customFormat="1" ht="17.5" customHeight="1" x14ac:dyDescent="0.35">
      <c r="A7" s="241"/>
      <c r="B7" s="243"/>
      <c r="C7" s="245"/>
      <c r="D7" s="245"/>
      <c r="E7" s="247"/>
      <c r="F7" s="247"/>
      <c r="G7" s="250"/>
      <c r="H7" s="250"/>
      <c r="I7" s="257"/>
      <c r="J7" s="262"/>
      <c r="K7" s="274"/>
      <c r="L7" s="54">
        <v>4</v>
      </c>
      <c r="M7" s="237"/>
      <c r="N7" s="237"/>
      <c r="O7" s="66">
        <v>3</v>
      </c>
      <c r="P7" s="67" t="s">
        <v>45</v>
      </c>
      <c r="Q7" s="26">
        <v>0.33333333333333331</v>
      </c>
      <c r="R7" s="26">
        <v>0.66666666666666663</v>
      </c>
      <c r="S7" s="26"/>
      <c r="T7" s="26"/>
      <c r="U7" s="118"/>
      <c r="V7" s="69" t="s">
        <v>43</v>
      </c>
      <c r="W7" s="70"/>
      <c r="X7" s="28"/>
      <c r="Y7" s="73"/>
      <c r="Z7" s="29">
        <f t="shared" si="0"/>
        <v>0</v>
      </c>
      <c r="AA7" s="64">
        <f t="shared" si="8"/>
        <v>0</v>
      </c>
      <c r="AB7" s="70"/>
      <c r="AC7" s="28"/>
      <c r="AD7" s="28"/>
      <c r="AE7" s="62">
        <f t="shared" ref="AE7:AE24" si="15">(AD7-AC7)*24</f>
        <v>0</v>
      </c>
      <c r="AF7" s="64">
        <f t="shared" si="9"/>
        <v>0</v>
      </c>
      <c r="AG7" s="70"/>
      <c r="AH7" s="28"/>
      <c r="AI7" s="73"/>
      <c r="AJ7" s="29">
        <f t="shared" ref="AJ7:AJ24" si="16">(AI7-AH7)*24</f>
        <v>0</v>
      </c>
      <c r="AK7" s="64">
        <f t="shared" si="10"/>
        <v>0</v>
      </c>
      <c r="AL7" s="70"/>
      <c r="AM7" s="28"/>
      <c r="AN7" s="73"/>
      <c r="AO7" s="29">
        <f t="shared" ref="AO7:AO24" si="17">(AN7-AM7)*24</f>
        <v>0</v>
      </c>
      <c r="AP7" s="64">
        <f t="shared" si="11"/>
        <v>0</v>
      </c>
      <c r="AQ7" s="70"/>
      <c r="AR7" s="28"/>
      <c r="AS7" s="73"/>
      <c r="AT7" s="29">
        <f t="shared" ref="AT7:AT24" si="18">(AS7-AR7)*24</f>
        <v>0</v>
      </c>
      <c r="AU7" s="64">
        <f t="shared" si="12"/>
        <v>0</v>
      </c>
      <c r="AV7" s="70"/>
      <c r="AW7" s="28"/>
      <c r="AX7" s="73"/>
      <c r="AY7" s="29">
        <f t="shared" ref="AY7:AY24" si="19">(AX7-AW7)*24</f>
        <v>0</v>
      </c>
      <c r="AZ7" s="64">
        <f t="shared" si="13"/>
        <v>0</v>
      </c>
      <c r="BA7" s="62"/>
      <c r="BB7" s="63">
        <f t="shared" si="14"/>
        <v>0</v>
      </c>
      <c r="BC7" s="13">
        <f t="shared" si="6"/>
        <v>4</v>
      </c>
      <c r="BD7" s="64">
        <f t="shared" si="7"/>
        <v>4</v>
      </c>
      <c r="BE7" s="73"/>
    </row>
    <row r="8" spans="1:57" s="31" customFormat="1" ht="17.5" customHeight="1" x14ac:dyDescent="0.35">
      <c r="A8" s="241"/>
      <c r="B8" s="243"/>
      <c r="C8" s="245"/>
      <c r="D8" s="245"/>
      <c r="E8" s="247"/>
      <c r="F8" s="247"/>
      <c r="G8" s="250"/>
      <c r="H8" s="250"/>
      <c r="I8" s="257"/>
      <c r="J8" s="262"/>
      <c r="K8" s="274"/>
      <c r="L8" s="54">
        <v>4</v>
      </c>
      <c r="M8" s="237"/>
      <c r="N8" s="237"/>
      <c r="O8" s="66">
        <v>4</v>
      </c>
      <c r="P8" s="67" t="s">
        <v>46</v>
      </c>
      <c r="Q8" s="26">
        <v>0.33333333333333331</v>
      </c>
      <c r="R8" s="26">
        <v>0.66666666666666663</v>
      </c>
      <c r="S8" s="26"/>
      <c r="T8" s="26"/>
      <c r="U8" s="118"/>
      <c r="V8" s="69" t="s">
        <v>43</v>
      </c>
      <c r="W8" s="70"/>
      <c r="X8" s="28"/>
      <c r="Y8" s="73"/>
      <c r="Z8" s="29">
        <f t="shared" si="0"/>
        <v>0</v>
      </c>
      <c r="AA8" s="64">
        <f t="shared" si="8"/>
        <v>0</v>
      </c>
      <c r="AB8" s="70"/>
      <c r="AC8" s="28"/>
      <c r="AD8" s="28"/>
      <c r="AE8" s="62">
        <f t="shared" si="15"/>
        <v>0</v>
      </c>
      <c r="AF8" s="64">
        <f t="shared" si="9"/>
        <v>0</v>
      </c>
      <c r="AG8" s="70"/>
      <c r="AH8" s="28"/>
      <c r="AI8" s="73"/>
      <c r="AJ8" s="29">
        <f t="shared" si="16"/>
        <v>0</v>
      </c>
      <c r="AK8" s="64">
        <f t="shared" si="10"/>
        <v>0</v>
      </c>
      <c r="AL8" s="70"/>
      <c r="AM8" s="28"/>
      <c r="AN8" s="73"/>
      <c r="AO8" s="29">
        <f t="shared" si="17"/>
        <v>0</v>
      </c>
      <c r="AP8" s="64">
        <f t="shared" si="11"/>
        <v>0</v>
      </c>
      <c r="AQ8" s="70"/>
      <c r="AR8" s="28"/>
      <c r="AS8" s="73"/>
      <c r="AT8" s="29">
        <f t="shared" si="18"/>
        <v>0</v>
      </c>
      <c r="AU8" s="64">
        <f t="shared" si="12"/>
        <v>0</v>
      </c>
      <c r="AV8" s="70"/>
      <c r="AW8" s="28"/>
      <c r="AX8" s="73"/>
      <c r="AY8" s="29">
        <f t="shared" si="19"/>
        <v>0</v>
      </c>
      <c r="AZ8" s="64">
        <f t="shared" si="13"/>
        <v>0</v>
      </c>
      <c r="BA8" s="62"/>
      <c r="BB8" s="63">
        <f t="shared" si="14"/>
        <v>0</v>
      </c>
      <c r="BC8" s="13">
        <f t="shared" si="6"/>
        <v>4</v>
      </c>
      <c r="BD8" s="64">
        <f t="shared" si="7"/>
        <v>4</v>
      </c>
      <c r="BE8" s="73"/>
    </row>
    <row r="9" spans="1:57" s="31" customFormat="1" ht="17.5" customHeight="1" x14ac:dyDescent="0.35">
      <c r="A9" s="241"/>
      <c r="B9" s="243"/>
      <c r="C9" s="245"/>
      <c r="D9" s="245"/>
      <c r="E9" s="247"/>
      <c r="F9" s="247"/>
      <c r="G9" s="250"/>
      <c r="H9" s="250"/>
      <c r="I9" s="257"/>
      <c r="J9" s="262"/>
      <c r="K9" s="274"/>
      <c r="L9" s="54">
        <v>4</v>
      </c>
      <c r="M9" s="237"/>
      <c r="N9" s="237"/>
      <c r="O9" s="66">
        <v>5</v>
      </c>
      <c r="P9" s="74" t="s">
        <v>47</v>
      </c>
      <c r="Q9" s="26">
        <v>0.33333333333333331</v>
      </c>
      <c r="R9" s="26">
        <v>0.5</v>
      </c>
      <c r="S9" s="26"/>
      <c r="T9" s="26"/>
      <c r="U9" s="118"/>
      <c r="V9" s="69" t="s">
        <v>43</v>
      </c>
      <c r="W9" s="70"/>
      <c r="X9" s="28"/>
      <c r="Y9" s="73"/>
      <c r="Z9" s="29">
        <f t="shared" si="0"/>
        <v>0</v>
      </c>
      <c r="AA9" s="64">
        <f t="shared" si="8"/>
        <v>0</v>
      </c>
      <c r="AB9" s="70"/>
      <c r="AC9" s="28"/>
      <c r="AD9" s="28"/>
      <c r="AE9" s="62">
        <f t="shared" si="15"/>
        <v>0</v>
      </c>
      <c r="AF9" s="64">
        <f t="shared" si="9"/>
        <v>0</v>
      </c>
      <c r="AG9" s="70"/>
      <c r="AH9" s="28"/>
      <c r="AI9" s="73"/>
      <c r="AJ9" s="29">
        <f t="shared" si="16"/>
        <v>0</v>
      </c>
      <c r="AK9" s="64">
        <f t="shared" si="10"/>
        <v>0</v>
      </c>
      <c r="AL9" s="70"/>
      <c r="AM9" s="28"/>
      <c r="AN9" s="73"/>
      <c r="AO9" s="29">
        <f t="shared" si="17"/>
        <v>0</v>
      </c>
      <c r="AP9" s="64">
        <f t="shared" si="11"/>
        <v>0</v>
      </c>
      <c r="AQ9" s="70"/>
      <c r="AR9" s="28"/>
      <c r="AS9" s="73"/>
      <c r="AT9" s="29">
        <f t="shared" si="18"/>
        <v>0</v>
      </c>
      <c r="AU9" s="64">
        <f t="shared" si="12"/>
        <v>0</v>
      </c>
      <c r="AV9" s="70"/>
      <c r="AW9" s="28"/>
      <c r="AX9" s="73"/>
      <c r="AY9" s="29">
        <f t="shared" si="19"/>
        <v>0</v>
      </c>
      <c r="AZ9" s="64">
        <f t="shared" si="13"/>
        <v>0</v>
      </c>
      <c r="BA9" s="62"/>
      <c r="BB9" s="63">
        <f t="shared" si="14"/>
        <v>0</v>
      </c>
      <c r="BC9" s="13">
        <f t="shared" si="6"/>
        <v>4</v>
      </c>
      <c r="BD9" s="64">
        <f t="shared" si="7"/>
        <v>4</v>
      </c>
      <c r="BE9" s="73"/>
    </row>
    <row r="10" spans="1:57" s="31" customFormat="1" ht="17.5" customHeight="1" x14ac:dyDescent="0.35">
      <c r="A10" s="241"/>
      <c r="B10" s="243"/>
      <c r="C10" s="245"/>
      <c r="D10" s="245"/>
      <c r="E10" s="247"/>
      <c r="F10" s="247"/>
      <c r="G10" s="250"/>
      <c r="H10" s="250"/>
      <c r="I10" s="257"/>
      <c r="J10" s="262"/>
      <c r="K10" s="274"/>
      <c r="L10" s="54">
        <v>4</v>
      </c>
      <c r="M10" s="237"/>
      <c r="N10" s="237"/>
      <c r="O10" s="66">
        <v>6</v>
      </c>
      <c r="P10" s="74" t="s">
        <v>48</v>
      </c>
      <c r="Q10" s="26">
        <v>0.33333333333333331</v>
      </c>
      <c r="R10" s="26">
        <v>0.70833333333333337</v>
      </c>
      <c r="S10" s="26"/>
      <c r="T10" s="26"/>
      <c r="U10" s="118"/>
      <c r="V10" s="69" t="s">
        <v>43</v>
      </c>
      <c r="W10" s="70"/>
      <c r="X10" s="28"/>
      <c r="Y10" s="73"/>
      <c r="Z10" s="29">
        <f t="shared" si="0"/>
        <v>0</v>
      </c>
      <c r="AA10" s="64">
        <f t="shared" si="8"/>
        <v>0</v>
      </c>
      <c r="AB10" s="70"/>
      <c r="AC10" s="28"/>
      <c r="AD10" s="28"/>
      <c r="AE10" s="62">
        <f t="shared" si="15"/>
        <v>0</v>
      </c>
      <c r="AF10" s="64">
        <f t="shared" si="9"/>
        <v>0</v>
      </c>
      <c r="AG10" s="70"/>
      <c r="AH10" s="28"/>
      <c r="AI10" s="73"/>
      <c r="AJ10" s="29">
        <f t="shared" si="16"/>
        <v>0</v>
      </c>
      <c r="AK10" s="64">
        <f t="shared" si="10"/>
        <v>0</v>
      </c>
      <c r="AL10" s="70"/>
      <c r="AM10" s="28"/>
      <c r="AN10" s="73"/>
      <c r="AO10" s="29">
        <f t="shared" si="17"/>
        <v>0</v>
      </c>
      <c r="AP10" s="64">
        <f t="shared" si="11"/>
        <v>0</v>
      </c>
      <c r="AQ10" s="70"/>
      <c r="AR10" s="28"/>
      <c r="AS10" s="73"/>
      <c r="AT10" s="29">
        <f t="shared" si="18"/>
        <v>0</v>
      </c>
      <c r="AU10" s="64">
        <f t="shared" si="12"/>
        <v>0</v>
      </c>
      <c r="AV10" s="70"/>
      <c r="AW10" s="28"/>
      <c r="AX10" s="73"/>
      <c r="AY10" s="29">
        <f t="shared" si="19"/>
        <v>0</v>
      </c>
      <c r="AZ10" s="64">
        <f t="shared" si="13"/>
        <v>0</v>
      </c>
      <c r="BA10" s="62"/>
      <c r="BB10" s="63">
        <f t="shared" si="14"/>
        <v>0</v>
      </c>
      <c r="BC10" s="13">
        <f t="shared" si="6"/>
        <v>4</v>
      </c>
      <c r="BD10" s="64">
        <f t="shared" si="7"/>
        <v>4</v>
      </c>
      <c r="BE10" s="73"/>
    </row>
    <row r="11" spans="1:57" s="31" customFormat="1" ht="17.5" customHeight="1" x14ac:dyDescent="0.35">
      <c r="A11" s="241"/>
      <c r="B11" s="243"/>
      <c r="C11" s="245"/>
      <c r="D11" s="245"/>
      <c r="E11" s="247"/>
      <c r="F11" s="247"/>
      <c r="G11" s="250"/>
      <c r="H11" s="250"/>
      <c r="I11" s="257"/>
      <c r="J11" s="262"/>
      <c r="K11" s="274"/>
      <c r="L11" s="54">
        <v>4</v>
      </c>
      <c r="M11" s="237"/>
      <c r="N11" s="237"/>
      <c r="O11" s="66">
        <v>7</v>
      </c>
      <c r="P11" s="74" t="s">
        <v>49</v>
      </c>
      <c r="Q11" s="26">
        <v>0.33333333333333331</v>
      </c>
      <c r="R11" s="26">
        <v>0.5</v>
      </c>
      <c r="S11" s="26"/>
      <c r="T11" s="26"/>
      <c r="U11" s="118"/>
      <c r="V11" s="69" t="s">
        <v>50</v>
      </c>
      <c r="W11" s="70"/>
      <c r="X11" s="28"/>
      <c r="Y11" s="73"/>
      <c r="Z11" s="29">
        <f t="shared" si="0"/>
        <v>0</v>
      </c>
      <c r="AA11" s="64">
        <f t="shared" si="8"/>
        <v>0</v>
      </c>
      <c r="AB11" s="70"/>
      <c r="AC11" s="28"/>
      <c r="AD11" s="28"/>
      <c r="AE11" s="62">
        <f t="shared" si="15"/>
        <v>0</v>
      </c>
      <c r="AF11" s="64">
        <f t="shared" si="9"/>
        <v>0</v>
      </c>
      <c r="AG11" s="70"/>
      <c r="AH11" s="28"/>
      <c r="AI11" s="73"/>
      <c r="AJ11" s="29">
        <f t="shared" si="16"/>
        <v>0</v>
      </c>
      <c r="AK11" s="64">
        <f t="shared" si="10"/>
        <v>0</v>
      </c>
      <c r="AL11" s="70"/>
      <c r="AM11" s="28"/>
      <c r="AN11" s="73"/>
      <c r="AO11" s="29">
        <f t="shared" si="17"/>
        <v>0</v>
      </c>
      <c r="AP11" s="64">
        <f t="shared" si="11"/>
        <v>0</v>
      </c>
      <c r="AQ11" s="70"/>
      <c r="AR11" s="28"/>
      <c r="AS11" s="73"/>
      <c r="AT11" s="29">
        <f t="shared" si="18"/>
        <v>0</v>
      </c>
      <c r="AU11" s="64">
        <f t="shared" si="12"/>
        <v>0</v>
      </c>
      <c r="AV11" s="70"/>
      <c r="AW11" s="28"/>
      <c r="AX11" s="73"/>
      <c r="AY11" s="29">
        <f t="shared" si="19"/>
        <v>0</v>
      </c>
      <c r="AZ11" s="64">
        <f t="shared" si="13"/>
        <v>0</v>
      </c>
      <c r="BA11" s="62"/>
      <c r="BB11" s="63">
        <f t="shared" si="14"/>
        <v>0</v>
      </c>
      <c r="BC11" s="13">
        <f t="shared" si="6"/>
        <v>4</v>
      </c>
      <c r="BD11" s="64">
        <f t="shared" si="7"/>
        <v>4</v>
      </c>
      <c r="BE11" s="73"/>
    </row>
    <row r="12" spans="1:57" s="31" customFormat="1" ht="17.5" customHeight="1" thickBot="1" x14ac:dyDescent="0.4">
      <c r="A12" s="241"/>
      <c r="B12" s="243"/>
      <c r="C12" s="245"/>
      <c r="D12" s="245"/>
      <c r="E12" s="248"/>
      <c r="F12" s="248"/>
      <c r="G12" s="251"/>
      <c r="H12" s="251"/>
      <c r="I12" s="260"/>
      <c r="J12" s="262"/>
      <c r="K12" s="274"/>
      <c r="L12" s="54">
        <v>4</v>
      </c>
      <c r="M12" s="237"/>
      <c r="N12" s="237"/>
      <c r="O12" s="75">
        <v>8</v>
      </c>
      <c r="P12" s="76" t="s">
        <v>51</v>
      </c>
      <c r="Q12" s="26">
        <v>0.33333333333333331</v>
      </c>
      <c r="R12" s="26">
        <v>0.5</v>
      </c>
      <c r="S12" s="26"/>
      <c r="T12" s="26"/>
      <c r="U12" s="127"/>
      <c r="V12" s="69" t="s">
        <v>43</v>
      </c>
      <c r="W12" s="70"/>
      <c r="X12" s="28"/>
      <c r="Y12" s="73"/>
      <c r="Z12" s="77">
        <f t="shared" si="0"/>
        <v>0</v>
      </c>
      <c r="AA12" s="81">
        <f t="shared" si="8"/>
        <v>0</v>
      </c>
      <c r="AB12" s="70"/>
      <c r="AC12" s="28"/>
      <c r="AD12" s="28"/>
      <c r="AE12" s="78">
        <f t="shared" si="15"/>
        <v>0</v>
      </c>
      <c r="AF12" s="81">
        <f t="shared" si="9"/>
        <v>0</v>
      </c>
      <c r="AG12" s="70"/>
      <c r="AH12" s="28"/>
      <c r="AI12" s="73"/>
      <c r="AJ12" s="77">
        <f t="shared" si="16"/>
        <v>0</v>
      </c>
      <c r="AK12" s="81">
        <f t="shared" si="10"/>
        <v>0</v>
      </c>
      <c r="AL12" s="70"/>
      <c r="AM12" s="28"/>
      <c r="AN12" s="73"/>
      <c r="AO12" s="77">
        <f t="shared" si="17"/>
        <v>0</v>
      </c>
      <c r="AP12" s="81">
        <f t="shared" si="11"/>
        <v>0</v>
      </c>
      <c r="AQ12" s="70"/>
      <c r="AR12" s="28"/>
      <c r="AS12" s="73"/>
      <c r="AT12" s="77">
        <f t="shared" si="18"/>
        <v>0</v>
      </c>
      <c r="AU12" s="81">
        <f t="shared" si="12"/>
        <v>0</v>
      </c>
      <c r="AV12" s="70"/>
      <c r="AW12" s="28"/>
      <c r="AX12" s="73"/>
      <c r="AY12" s="77">
        <f t="shared" si="19"/>
        <v>0</v>
      </c>
      <c r="AZ12" s="81">
        <f t="shared" si="13"/>
        <v>0</v>
      </c>
      <c r="BA12" s="78"/>
      <c r="BB12" s="79">
        <f t="shared" si="14"/>
        <v>0</v>
      </c>
      <c r="BC12" s="80">
        <f t="shared" si="6"/>
        <v>4</v>
      </c>
      <c r="BD12" s="81">
        <f t="shared" si="7"/>
        <v>4</v>
      </c>
      <c r="BE12" s="73"/>
    </row>
    <row r="13" spans="1:57" s="31" customFormat="1" ht="17.5" customHeight="1" x14ac:dyDescent="0.35">
      <c r="A13" s="241"/>
      <c r="B13" s="243"/>
      <c r="C13" s="245"/>
      <c r="D13" s="245"/>
      <c r="E13" s="252" t="s">
        <v>52</v>
      </c>
      <c r="F13" s="254" t="s">
        <v>53</v>
      </c>
      <c r="G13" s="249">
        <v>6</v>
      </c>
      <c r="H13" s="249">
        <v>3</v>
      </c>
      <c r="I13" s="256">
        <v>18</v>
      </c>
      <c r="J13" s="262"/>
      <c r="K13" s="274"/>
      <c r="L13" s="54">
        <v>5</v>
      </c>
      <c r="M13" s="237"/>
      <c r="N13" s="237"/>
      <c r="O13" s="55">
        <v>1</v>
      </c>
      <c r="P13" s="82" t="s">
        <v>48</v>
      </c>
      <c r="Q13" s="57">
        <v>0.33333333333333331</v>
      </c>
      <c r="R13" s="57">
        <v>0.66666666666666663</v>
      </c>
      <c r="S13" s="57"/>
      <c r="T13" s="57"/>
      <c r="U13" s="210"/>
      <c r="V13" s="58" t="s">
        <v>43</v>
      </c>
      <c r="W13" s="59"/>
      <c r="X13" s="83"/>
      <c r="Y13" s="65"/>
      <c r="Z13" s="29">
        <f t="shared" si="0"/>
        <v>0</v>
      </c>
      <c r="AA13" s="64">
        <f t="shared" si="8"/>
        <v>0</v>
      </c>
      <c r="AB13" s="59"/>
      <c r="AC13" s="83"/>
      <c r="AD13" s="83"/>
      <c r="AE13" s="62">
        <f t="shared" si="15"/>
        <v>0</v>
      </c>
      <c r="AF13" s="64">
        <f t="shared" si="9"/>
        <v>0</v>
      </c>
      <c r="AG13" s="59"/>
      <c r="AH13" s="83"/>
      <c r="AI13" s="65"/>
      <c r="AJ13" s="29">
        <f t="shared" si="16"/>
        <v>0</v>
      </c>
      <c r="AK13" s="64">
        <f t="shared" si="10"/>
        <v>0</v>
      </c>
      <c r="AL13" s="59"/>
      <c r="AM13" s="83"/>
      <c r="AN13" s="65"/>
      <c r="AO13" s="29">
        <f t="shared" si="17"/>
        <v>0</v>
      </c>
      <c r="AP13" s="64">
        <f t="shared" si="11"/>
        <v>0</v>
      </c>
      <c r="AQ13" s="59"/>
      <c r="AR13" s="83"/>
      <c r="AS13" s="65"/>
      <c r="AT13" s="29">
        <f t="shared" si="18"/>
        <v>0</v>
      </c>
      <c r="AU13" s="64">
        <f t="shared" si="12"/>
        <v>0</v>
      </c>
      <c r="AV13" s="59"/>
      <c r="AW13" s="83"/>
      <c r="AX13" s="65"/>
      <c r="AY13" s="29">
        <f t="shared" si="19"/>
        <v>0</v>
      </c>
      <c r="AZ13" s="64">
        <f t="shared" si="13"/>
        <v>0</v>
      </c>
      <c r="BA13" s="62"/>
      <c r="BB13" s="63">
        <f t="shared" si="14"/>
        <v>0</v>
      </c>
      <c r="BC13" s="13">
        <f t="shared" si="6"/>
        <v>5</v>
      </c>
      <c r="BD13" s="64">
        <f t="shared" si="7"/>
        <v>5</v>
      </c>
      <c r="BE13" s="65"/>
    </row>
    <row r="14" spans="1:57" s="31" customFormat="1" ht="17.5" customHeight="1" x14ac:dyDescent="0.35">
      <c r="A14" s="241"/>
      <c r="B14" s="243"/>
      <c r="C14" s="245"/>
      <c r="D14" s="245"/>
      <c r="E14" s="253"/>
      <c r="F14" s="255"/>
      <c r="G14" s="250"/>
      <c r="H14" s="250"/>
      <c r="I14" s="257"/>
      <c r="J14" s="262"/>
      <c r="K14" s="274"/>
      <c r="L14" s="54">
        <v>5</v>
      </c>
      <c r="M14" s="237"/>
      <c r="N14" s="237"/>
      <c r="O14" s="66">
        <v>2</v>
      </c>
      <c r="P14" s="84" t="s">
        <v>54</v>
      </c>
      <c r="Q14" s="26">
        <v>0.33333333333333331</v>
      </c>
      <c r="R14" s="26">
        <v>0.66666666666666663</v>
      </c>
      <c r="S14" s="26"/>
      <c r="T14" s="26"/>
      <c r="U14" s="118"/>
      <c r="V14" s="69" t="s">
        <v>43</v>
      </c>
      <c r="W14" s="70"/>
      <c r="X14" s="28"/>
      <c r="Y14" s="73"/>
      <c r="Z14" s="29">
        <f t="shared" si="0"/>
        <v>0</v>
      </c>
      <c r="AA14" s="64">
        <f t="shared" si="8"/>
        <v>0</v>
      </c>
      <c r="AB14" s="70"/>
      <c r="AC14" s="28"/>
      <c r="AD14" s="28"/>
      <c r="AE14" s="62">
        <f t="shared" si="15"/>
        <v>0</v>
      </c>
      <c r="AF14" s="64">
        <f t="shared" si="9"/>
        <v>0</v>
      </c>
      <c r="AG14" s="70"/>
      <c r="AH14" s="28"/>
      <c r="AI14" s="73"/>
      <c r="AJ14" s="29">
        <f t="shared" si="16"/>
        <v>0</v>
      </c>
      <c r="AK14" s="64">
        <f t="shared" si="10"/>
        <v>0</v>
      </c>
      <c r="AL14" s="70"/>
      <c r="AM14" s="28"/>
      <c r="AN14" s="73"/>
      <c r="AO14" s="29">
        <f t="shared" si="17"/>
        <v>0</v>
      </c>
      <c r="AP14" s="64">
        <f t="shared" si="11"/>
        <v>0</v>
      </c>
      <c r="AQ14" s="70"/>
      <c r="AR14" s="28"/>
      <c r="AS14" s="73"/>
      <c r="AT14" s="29">
        <f t="shared" si="18"/>
        <v>0</v>
      </c>
      <c r="AU14" s="64">
        <f t="shared" si="12"/>
        <v>0</v>
      </c>
      <c r="AV14" s="70"/>
      <c r="AW14" s="28"/>
      <c r="AX14" s="73"/>
      <c r="AY14" s="29">
        <f t="shared" si="19"/>
        <v>0</v>
      </c>
      <c r="AZ14" s="64">
        <f t="shared" si="13"/>
        <v>0</v>
      </c>
      <c r="BA14" s="62"/>
      <c r="BB14" s="63">
        <f t="shared" si="14"/>
        <v>0</v>
      </c>
      <c r="BC14" s="13">
        <f t="shared" si="6"/>
        <v>5</v>
      </c>
      <c r="BD14" s="64">
        <f t="shared" si="7"/>
        <v>5</v>
      </c>
      <c r="BE14" s="73"/>
    </row>
    <row r="15" spans="1:57" s="31" customFormat="1" ht="17.5" customHeight="1" thickBot="1" x14ac:dyDescent="0.4">
      <c r="A15" s="241"/>
      <c r="B15" s="243"/>
      <c r="C15" s="245"/>
      <c r="D15" s="245"/>
      <c r="E15" s="253"/>
      <c r="F15" s="255"/>
      <c r="G15" s="250"/>
      <c r="H15" s="250"/>
      <c r="I15" s="257"/>
      <c r="J15" s="262"/>
      <c r="K15" s="274"/>
      <c r="L15" s="54">
        <v>5</v>
      </c>
      <c r="M15" s="237"/>
      <c r="N15" s="237"/>
      <c r="O15" s="75">
        <v>3</v>
      </c>
      <c r="P15" s="85" t="s">
        <v>55</v>
      </c>
      <c r="Q15" s="86">
        <v>0.33333333333333331</v>
      </c>
      <c r="R15" s="86">
        <v>0.66666666666666663</v>
      </c>
      <c r="S15" s="86"/>
      <c r="T15" s="86"/>
      <c r="U15" s="127"/>
      <c r="V15" s="88" t="s">
        <v>43</v>
      </c>
      <c r="W15" s="89"/>
      <c r="X15" s="90"/>
      <c r="Y15" s="91"/>
      <c r="Z15" s="77">
        <f t="shared" si="0"/>
        <v>0</v>
      </c>
      <c r="AA15" s="81">
        <f t="shared" si="8"/>
        <v>0</v>
      </c>
      <c r="AB15" s="89"/>
      <c r="AC15" s="90"/>
      <c r="AD15" s="90"/>
      <c r="AE15" s="78">
        <f t="shared" si="15"/>
        <v>0</v>
      </c>
      <c r="AF15" s="81">
        <f t="shared" si="9"/>
        <v>0</v>
      </c>
      <c r="AG15" s="89"/>
      <c r="AH15" s="90"/>
      <c r="AI15" s="91"/>
      <c r="AJ15" s="77">
        <f t="shared" si="16"/>
        <v>0</v>
      </c>
      <c r="AK15" s="81">
        <f t="shared" si="10"/>
        <v>0</v>
      </c>
      <c r="AL15" s="89"/>
      <c r="AM15" s="90"/>
      <c r="AN15" s="91"/>
      <c r="AO15" s="77">
        <f t="shared" si="17"/>
        <v>0</v>
      </c>
      <c r="AP15" s="81">
        <f t="shared" si="11"/>
        <v>0</v>
      </c>
      <c r="AQ15" s="89"/>
      <c r="AR15" s="90"/>
      <c r="AS15" s="91"/>
      <c r="AT15" s="77">
        <f t="shared" si="18"/>
        <v>0</v>
      </c>
      <c r="AU15" s="81">
        <f t="shared" si="12"/>
        <v>0</v>
      </c>
      <c r="AV15" s="89"/>
      <c r="AW15" s="90"/>
      <c r="AX15" s="91"/>
      <c r="AY15" s="77">
        <f t="shared" si="19"/>
        <v>0</v>
      </c>
      <c r="AZ15" s="81">
        <f t="shared" si="13"/>
        <v>0</v>
      </c>
      <c r="BA15" s="62"/>
      <c r="BB15" s="63">
        <f t="shared" si="14"/>
        <v>0</v>
      </c>
      <c r="BC15" s="13">
        <f t="shared" si="6"/>
        <v>5</v>
      </c>
      <c r="BD15" s="81">
        <f t="shared" si="7"/>
        <v>5</v>
      </c>
      <c r="BE15" s="91"/>
    </row>
    <row r="16" spans="1:57" s="31" customFormat="1" ht="17.5" customHeight="1" thickBot="1" x14ac:dyDescent="0.4">
      <c r="A16" s="241"/>
      <c r="B16" s="243"/>
      <c r="C16" s="245"/>
      <c r="D16" s="245"/>
      <c r="E16" s="258" t="s">
        <v>56</v>
      </c>
      <c r="F16" s="259"/>
      <c r="G16" s="92"/>
      <c r="H16" s="93">
        <v>11</v>
      </c>
      <c r="I16" s="94">
        <f>SUM(I5:I13)</f>
        <v>50</v>
      </c>
      <c r="J16" s="263"/>
      <c r="K16" s="275"/>
      <c r="L16" s="95">
        <f>SUM(L5:L15)</f>
        <v>47</v>
      </c>
      <c r="M16" s="237"/>
      <c r="N16" s="237"/>
      <c r="O16" s="96"/>
      <c r="P16" s="144"/>
      <c r="Q16" s="134"/>
      <c r="R16" s="134"/>
      <c r="S16" s="134"/>
      <c r="T16" s="134"/>
      <c r="U16" s="211"/>
      <c r="V16" s="190"/>
      <c r="W16" s="191"/>
      <c r="X16" s="192"/>
      <c r="Y16" s="193"/>
      <c r="Z16" s="194"/>
      <c r="AA16" s="194"/>
      <c r="AB16" s="191"/>
      <c r="AC16" s="192"/>
      <c r="AD16" s="192"/>
      <c r="AE16" s="206"/>
      <c r="AF16" s="194"/>
      <c r="AG16" s="191"/>
      <c r="AH16" s="192"/>
      <c r="AI16" s="193"/>
      <c r="AJ16" s="194"/>
      <c r="AK16" s="194"/>
      <c r="AL16" s="191"/>
      <c r="AM16" s="192"/>
      <c r="AN16" s="193"/>
      <c r="AO16" s="194"/>
      <c r="AP16" s="194"/>
      <c r="AQ16" s="191"/>
      <c r="AR16" s="192"/>
      <c r="AS16" s="193"/>
      <c r="AT16" s="194"/>
      <c r="AU16" s="194"/>
      <c r="AV16" s="191"/>
      <c r="AW16" s="192"/>
      <c r="AX16" s="193"/>
      <c r="AY16" s="194"/>
      <c r="AZ16" s="194"/>
      <c r="BA16" s="195"/>
      <c r="BB16" s="196"/>
      <c r="BC16" s="197"/>
      <c r="BD16" s="228">
        <f>SUM(BD5:BD15)</f>
        <v>47</v>
      </c>
      <c r="BE16" s="193"/>
    </row>
    <row r="17" spans="1:57" s="31" customFormat="1" ht="17.5" customHeight="1" x14ac:dyDescent="0.35">
      <c r="A17" s="241"/>
      <c r="B17" s="243"/>
      <c r="C17" s="245"/>
      <c r="D17" s="245"/>
      <c r="E17" s="246" t="s">
        <v>39</v>
      </c>
      <c r="F17" s="246" t="s">
        <v>40</v>
      </c>
      <c r="G17" s="249">
        <v>4</v>
      </c>
      <c r="H17" s="249">
        <v>6</v>
      </c>
      <c r="I17" s="256">
        <v>24</v>
      </c>
      <c r="J17" s="261">
        <f>I25/8</f>
        <v>4</v>
      </c>
      <c r="K17" s="264" t="s">
        <v>57</v>
      </c>
      <c r="L17" s="54">
        <v>4</v>
      </c>
      <c r="M17" s="267">
        <f>I25/8</f>
        <v>4</v>
      </c>
      <c r="N17" s="270">
        <f>SUM(BD17:BD24)/8</f>
        <v>4</v>
      </c>
      <c r="O17" s="66">
        <v>1</v>
      </c>
      <c r="P17" s="56" t="s">
        <v>42</v>
      </c>
      <c r="Q17" s="26">
        <v>0.33333333333333331</v>
      </c>
      <c r="R17" s="26">
        <v>0.54166666666666663</v>
      </c>
      <c r="S17" s="26"/>
      <c r="T17" s="26"/>
      <c r="U17" s="118"/>
      <c r="V17" s="26" t="s">
        <v>43</v>
      </c>
      <c r="W17" s="70"/>
      <c r="X17" s="28"/>
      <c r="Y17" s="73"/>
      <c r="Z17" s="29">
        <f t="shared" si="0"/>
        <v>0</v>
      </c>
      <c r="AA17" s="64">
        <f t="shared" si="8"/>
        <v>0</v>
      </c>
      <c r="AB17" s="70"/>
      <c r="AC17" s="28"/>
      <c r="AD17" s="28"/>
      <c r="AE17" s="62">
        <f t="shared" si="15"/>
        <v>0</v>
      </c>
      <c r="AF17" s="64">
        <f t="shared" si="9"/>
        <v>0</v>
      </c>
      <c r="AG17" s="70"/>
      <c r="AH17" s="28"/>
      <c r="AI17" s="73"/>
      <c r="AJ17" s="29">
        <f t="shared" si="16"/>
        <v>0</v>
      </c>
      <c r="AK17" s="64">
        <f t="shared" si="10"/>
        <v>0</v>
      </c>
      <c r="AL17" s="70"/>
      <c r="AM17" s="28"/>
      <c r="AN17" s="73"/>
      <c r="AO17" s="29">
        <f t="shared" si="17"/>
        <v>0</v>
      </c>
      <c r="AP17" s="64">
        <f t="shared" si="11"/>
        <v>0</v>
      </c>
      <c r="AQ17" s="70"/>
      <c r="AR17" s="28"/>
      <c r="AS17" s="73"/>
      <c r="AT17" s="29">
        <f t="shared" si="18"/>
        <v>0</v>
      </c>
      <c r="AU17" s="64">
        <f t="shared" si="12"/>
        <v>0</v>
      </c>
      <c r="AV17" s="70"/>
      <c r="AW17" s="28"/>
      <c r="AX17" s="73"/>
      <c r="AY17" s="29">
        <f t="shared" si="19"/>
        <v>0</v>
      </c>
      <c r="AZ17" s="64">
        <f t="shared" si="13"/>
        <v>0</v>
      </c>
      <c r="BA17" s="62"/>
      <c r="BB17" s="63">
        <f>AA17+AF17+AK17+AP17+AU17+AZ17</f>
        <v>0</v>
      </c>
      <c r="BC17" s="13">
        <f t="shared" ref="BC17:BC24" si="20">IF(BB17&gt;0, BB17, IF(BB17=0, L17))</f>
        <v>4</v>
      </c>
      <c r="BD17" s="64">
        <f t="shared" ref="BD17:BD24" si="21">IF(BA17=1, (BC17-L17), IF(BA17=0, BC17))</f>
        <v>4</v>
      </c>
      <c r="BE17" s="73"/>
    </row>
    <row r="18" spans="1:57" s="31" customFormat="1" ht="17.5" customHeight="1" x14ac:dyDescent="0.35">
      <c r="A18" s="241"/>
      <c r="B18" s="243"/>
      <c r="C18" s="245"/>
      <c r="D18" s="245"/>
      <c r="E18" s="247"/>
      <c r="F18" s="247"/>
      <c r="G18" s="250"/>
      <c r="H18" s="250"/>
      <c r="I18" s="257"/>
      <c r="J18" s="262"/>
      <c r="K18" s="265"/>
      <c r="L18" s="54">
        <v>4</v>
      </c>
      <c r="M18" s="268"/>
      <c r="N18" s="271"/>
      <c r="O18" s="66">
        <v>2</v>
      </c>
      <c r="P18" s="67" t="s">
        <v>44</v>
      </c>
      <c r="Q18" s="26">
        <v>0.33333333333333331</v>
      </c>
      <c r="R18" s="26">
        <v>0.54166666666666663</v>
      </c>
      <c r="S18" s="26"/>
      <c r="T18" s="26"/>
      <c r="U18" s="118"/>
      <c r="V18" s="26" t="s">
        <v>43</v>
      </c>
      <c r="W18" s="70"/>
      <c r="X18" s="28"/>
      <c r="Y18" s="73"/>
      <c r="Z18" s="29">
        <f t="shared" si="0"/>
        <v>0</v>
      </c>
      <c r="AA18" s="64">
        <f t="shared" si="8"/>
        <v>0</v>
      </c>
      <c r="AB18" s="70"/>
      <c r="AC18" s="28"/>
      <c r="AD18" s="28"/>
      <c r="AE18" s="62">
        <f t="shared" si="15"/>
        <v>0</v>
      </c>
      <c r="AF18" s="64">
        <f t="shared" si="9"/>
        <v>0</v>
      </c>
      <c r="AG18" s="70"/>
      <c r="AH18" s="28"/>
      <c r="AI18" s="73"/>
      <c r="AJ18" s="29">
        <f t="shared" si="16"/>
        <v>0</v>
      </c>
      <c r="AK18" s="64">
        <f t="shared" si="10"/>
        <v>0</v>
      </c>
      <c r="AL18" s="70"/>
      <c r="AM18" s="28"/>
      <c r="AN18" s="73"/>
      <c r="AO18" s="29">
        <f t="shared" si="17"/>
        <v>0</v>
      </c>
      <c r="AP18" s="64">
        <f t="shared" si="11"/>
        <v>0</v>
      </c>
      <c r="AQ18" s="70"/>
      <c r="AR18" s="28"/>
      <c r="AS18" s="73"/>
      <c r="AT18" s="29">
        <f t="shared" si="18"/>
        <v>0</v>
      </c>
      <c r="AU18" s="64">
        <f t="shared" si="12"/>
        <v>0</v>
      </c>
      <c r="AV18" s="70"/>
      <c r="AW18" s="28"/>
      <c r="AX18" s="73"/>
      <c r="AY18" s="29">
        <f t="shared" si="19"/>
        <v>0</v>
      </c>
      <c r="AZ18" s="64">
        <f t="shared" si="13"/>
        <v>0</v>
      </c>
      <c r="BA18" s="62"/>
      <c r="BB18" s="63">
        <f t="shared" ref="BB18:BB24" si="22">AA18+AF18+AK18+AP18+AU18+AZ18</f>
        <v>0</v>
      </c>
      <c r="BC18" s="13">
        <f t="shared" si="20"/>
        <v>4</v>
      </c>
      <c r="BD18" s="64">
        <f t="shared" si="21"/>
        <v>4</v>
      </c>
      <c r="BE18" s="73"/>
    </row>
    <row r="19" spans="1:57" s="31" customFormat="1" ht="17.5" customHeight="1" x14ac:dyDescent="0.35">
      <c r="A19" s="241"/>
      <c r="B19" s="243"/>
      <c r="C19" s="245"/>
      <c r="D19" s="245"/>
      <c r="E19" s="247"/>
      <c r="F19" s="247"/>
      <c r="G19" s="250"/>
      <c r="H19" s="250"/>
      <c r="I19" s="257"/>
      <c r="J19" s="262"/>
      <c r="K19" s="265"/>
      <c r="L19" s="54">
        <v>4</v>
      </c>
      <c r="M19" s="268"/>
      <c r="N19" s="271"/>
      <c r="O19" s="66">
        <v>3</v>
      </c>
      <c r="P19" s="67" t="s">
        <v>45</v>
      </c>
      <c r="Q19" s="26">
        <v>0.33333333333333331</v>
      </c>
      <c r="R19" s="26">
        <v>0.54166666666666663</v>
      </c>
      <c r="S19" s="26"/>
      <c r="T19" s="26"/>
      <c r="U19" s="118"/>
      <c r="V19" s="26" t="s">
        <v>43</v>
      </c>
      <c r="W19" s="70"/>
      <c r="X19" s="28"/>
      <c r="Y19" s="73"/>
      <c r="Z19" s="29">
        <f t="shared" si="0"/>
        <v>0</v>
      </c>
      <c r="AA19" s="64">
        <f t="shared" si="8"/>
        <v>0</v>
      </c>
      <c r="AB19" s="70"/>
      <c r="AC19" s="28"/>
      <c r="AD19" s="28"/>
      <c r="AE19" s="62">
        <f t="shared" si="15"/>
        <v>0</v>
      </c>
      <c r="AF19" s="64">
        <f t="shared" si="9"/>
        <v>0</v>
      </c>
      <c r="AG19" s="70"/>
      <c r="AH19" s="28"/>
      <c r="AI19" s="73"/>
      <c r="AJ19" s="29">
        <f t="shared" si="16"/>
        <v>0</v>
      </c>
      <c r="AK19" s="64">
        <f t="shared" si="10"/>
        <v>0</v>
      </c>
      <c r="AL19" s="70"/>
      <c r="AM19" s="28"/>
      <c r="AN19" s="73"/>
      <c r="AO19" s="29">
        <f t="shared" si="17"/>
        <v>0</v>
      </c>
      <c r="AP19" s="64">
        <f t="shared" si="11"/>
        <v>0</v>
      </c>
      <c r="AQ19" s="70"/>
      <c r="AR19" s="28"/>
      <c r="AS19" s="73"/>
      <c r="AT19" s="29">
        <f t="shared" si="18"/>
        <v>0</v>
      </c>
      <c r="AU19" s="64">
        <f t="shared" si="12"/>
        <v>0</v>
      </c>
      <c r="AV19" s="70"/>
      <c r="AW19" s="28"/>
      <c r="AX19" s="73"/>
      <c r="AY19" s="29">
        <f t="shared" si="19"/>
        <v>0</v>
      </c>
      <c r="AZ19" s="64">
        <f t="shared" si="13"/>
        <v>0</v>
      </c>
      <c r="BA19" s="62"/>
      <c r="BB19" s="63">
        <f t="shared" si="22"/>
        <v>0</v>
      </c>
      <c r="BC19" s="13">
        <f t="shared" si="20"/>
        <v>4</v>
      </c>
      <c r="BD19" s="64">
        <f t="shared" si="21"/>
        <v>4</v>
      </c>
      <c r="BE19" s="73"/>
    </row>
    <row r="20" spans="1:57" s="31" customFormat="1" ht="17.5" customHeight="1" x14ac:dyDescent="0.35">
      <c r="A20" s="241"/>
      <c r="B20" s="243"/>
      <c r="C20" s="245"/>
      <c r="D20" s="245"/>
      <c r="E20" s="247"/>
      <c r="F20" s="247"/>
      <c r="G20" s="250"/>
      <c r="H20" s="250"/>
      <c r="I20" s="257"/>
      <c r="J20" s="262"/>
      <c r="K20" s="265"/>
      <c r="L20" s="54">
        <v>4</v>
      </c>
      <c r="M20" s="268"/>
      <c r="N20" s="271"/>
      <c r="O20" s="66">
        <v>4</v>
      </c>
      <c r="P20" s="67" t="s">
        <v>46</v>
      </c>
      <c r="Q20" s="26">
        <v>0.33333333333333331</v>
      </c>
      <c r="R20" s="26">
        <v>0.54166666666666663</v>
      </c>
      <c r="S20" s="26"/>
      <c r="T20" s="26"/>
      <c r="U20" s="118"/>
      <c r="V20" s="26" t="s">
        <v>43</v>
      </c>
      <c r="W20" s="70"/>
      <c r="X20" s="28"/>
      <c r="Y20" s="73"/>
      <c r="Z20" s="29">
        <f t="shared" si="0"/>
        <v>0</v>
      </c>
      <c r="AA20" s="64">
        <f t="shared" si="8"/>
        <v>0</v>
      </c>
      <c r="AB20" s="70"/>
      <c r="AC20" s="28"/>
      <c r="AD20" s="28"/>
      <c r="AE20" s="62">
        <f t="shared" si="15"/>
        <v>0</v>
      </c>
      <c r="AF20" s="64">
        <f t="shared" si="9"/>
        <v>0</v>
      </c>
      <c r="AG20" s="70"/>
      <c r="AH20" s="28"/>
      <c r="AI20" s="73"/>
      <c r="AJ20" s="29">
        <f t="shared" si="16"/>
        <v>0</v>
      </c>
      <c r="AK20" s="64">
        <f t="shared" si="10"/>
        <v>0</v>
      </c>
      <c r="AL20" s="70"/>
      <c r="AM20" s="28"/>
      <c r="AN20" s="73"/>
      <c r="AO20" s="29">
        <f t="shared" si="17"/>
        <v>0</v>
      </c>
      <c r="AP20" s="64">
        <f t="shared" si="11"/>
        <v>0</v>
      </c>
      <c r="AQ20" s="70"/>
      <c r="AR20" s="28"/>
      <c r="AS20" s="73"/>
      <c r="AT20" s="29">
        <f t="shared" si="18"/>
        <v>0</v>
      </c>
      <c r="AU20" s="64">
        <f t="shared" si="12"/>
        <v>0</v>
      </c>
      <c r="AV20" s="70"/>
      <c r="AW20" s="28"/>
      <c r="AX20" s="73"/>
      <c r="AY20" s="29">
        <f t="shared" si="19"/>
        <v>0</v>
      </c>
      <c r="AZ20" s="64">
        <f t="shared" si="13"/>
        <v>0</v>
      </c>
      <c r="BA20" s="62"/>
      <c r="BB20" s="63">
        <f t="shared" si="22"/>
        <v>0</v>
      </c>
      <c r="BC20" s="13">
        <f t="shared" si="20"/>
        <v>4</v>
      </c>
      <c r="BD20" s="64">
        <f t="shared" si="21"/>
        <v>4</v>
      </c>
      <c r="BE20" s="73"/>
    </row>
    <row r="21" spans="1:57" s="31" customFormat="1" ht="17.5" customHeight="1" x14ac:dyDescent="0.35">
      <c r="A21" s="241"/>
      <c r="B21" s="243"/>
      <c r="C21" s="245"/>
      <c r="D21" s="245"/>
      <c r="E21" s="247"/>
      <c r="F21" s="247"/>
      <c r="G21" s="250"/>
      <c r="H21" s="250"/>
      <c r="I21" s="257"/>
      <c r="J21" s="262"/>
      <c r="K21" s="265"/>
      <c r="L21" s="54">
        <v>4</v>
      </c>
      <c r="M21" s="268"/>
      <c r="N21" s="271"/>
      <c r="O21" s="66">
        <v>5</v>
      </c>
      <c r="P21" s="74" t="s">
        <v>47</v>
      </c>
      <c r="Q21" s="26">
        <v>0.33333333333333331</v>
      </c>
      <c r="R21" s="26">
        <v>0.5</v>
      </c>
      <c r="S21" s="26"/>
      <c r="T21" s="26"/>
      <c r="U21" s="118"/>
      <c r="V21" s="26" t="s">
        <v>43</v>
      </c>
      <c r="W21" s="70"/>
      <c r="X21" s="28"/>
      <c r="Y21" s="73"/>
      <c r="Z21" s="29">
        <f t="shared" si="0"/>
        <v>0</v>
      </c>
      <c r="AA21" s="64">
        <f t="shared" si="8"/>
        <v>0</v>
      </c>
      <c r="AB21" s="70"/>
      <c r="AC21" s="28"/>
      <c r="AD21" s="28"/>
      <c r="AE21" s="62">
        <f t="shared" si="15"/>
        <v>0</v>
      </c>
      <c r="AF21" s="64">
        <f t="shared" si="9"/>
        <v>0</v>
      </c>
      <c r="AG21" s="70"/>
      <c r="AH21" s="28"/>
      <c r="AI21" s="73"/>
      <c r="AJ21" s="29">
        <f t="shared" si="16"/>
        <v>0</v>
      </c>
      <c r="AK21" s="64">
        <f t="shared" si="10"/>
        <v>0</v>
      </c>
      <c r="AL21" s="70"/>
      <c r="AM21" s="28"/>
      <c r="AN21" s="73"/>
      <c r="AO21" s="29">
        <f t="shared" si="17"/>
        <v>0</v>
      </c>
      <c r="AP21" s="64">
        <f t="shared" si="11"/>
        <v>0</v>
      </c>
      <c r="AQ21" s="70"/>
      <c r="AR21" s="28"/>
      <c r="AS21" s="73"/>
      <c r="AT21" s="29">
        <f t="shared" si="18"/>
        <v>0</v>
      </c>
      <c r="AU21" s="64">
        <f t="shared" si="12"/>
        <v>0</v>
      </c>
      <c r="AV21" s="70"/>
      <c r="AW21" s="28"/>
      <c r="AX21" s="73"/>
      <c r="AY21" s="29">
        <f t="shared" si="19"/>
        <v>0</v>
      </c>
      <c r="AZ21" s="64">
        <f t="shared" si="13"/>
        <v>0</v>
      </c>
      <c r="BA21" s="62"/>
      <c r="BB21" s="63">
        <f t="shared" si="22"/>
        <v>0</v>
      </c>
      <c r="BC21" s="13">
        <f t="shared" si="20"/>
        <v>4</v>
      </c>
      <c r="BD21" s="64">
        <f t="shared" si="21"/>
        <v>4</v>
      </c>
      <c r="BE21" s="73"/>
    </row>
    <row r="22" spans="1:57" s="31" customFormat="1" ht="17.5" customHeight="1" thickBot="1" x14ac:dyDescent="0.4">
      <c r="A22" s="241"/>
      <c r="B22" s="243"/>
      <c r="C22" s="245"/>
      <c r="D22" s="245"/>
      <c r="E22" s="248"/>
      <c r="F22" s="248"/>
      <c r="G22" s="251"/>
      <c r="H22" s="251"/>
      <c r="I22" s="260"/>
      <c r="J22" s="262"/>
      <c r="K22" s="265"/>
      <c r="L22" s="54">
        <v>4</v>
      </c>
      <c r="M22" s="268"/>
      <c r="N22" s="271"/>
      <c r="O22" s="75">
        <v>6</v>
      </c>
      <c r="P22" s="76" t="s">
        <v>51</v>
      </c>
      <c r="Q22" s="26">
        <v>0.33333333333333331</v>
      </c>
      <c r="R22" s="26">
        <v>0.5</v>
      </c>
      <c r="S22" s="26"/>
      <c r="T22" s="26"/>
      <c r="U22" s="126"/>
      <c r="V22" s="26" t="s">
        <v>43</v>
      </c>
      <c r="W22" s="70"/>
      <c r="X22" s="28"/>
      <c r="Y22" s="73"/>
      <c r="Z22" s="77">
        <f t="shared" si="0"/>
        <v>0</v>
      </c>
      <c r="AA22" s="81">
        <f t="shared" si="8"/>
        <v>0</v>
      </c>
      <c r="AB22" s="70"/>
      <c r="AC22" s="28"/>
      <c r="AD22" s="28"/>
      <c r="AE22" s="78">
        <f t="shared" si="15"/>
        <v>0</v>
      </c>
      <c r="AF22" s="81">
        <f t="shared" si="9"/>
        <v>0</v>
      </c>
      <c r="AG22" s="70"/>
      <c r="AH22" s="28"/>
      <c r="AI22" s="73"/>
      <c r="AJ22" s="77">
        <f t="shared" si="16"/>
        <v>0</v>
      </c>
      <c r="AK22" s="81">
        <f t="shared" si="10"/>
        <v>0</v>
      </c>
      <c r="AL22" s="70"/>
      <c r="AM22" s="28"/>
      <c r="AN22" s="73"/>
      <c r="AO22" s="77">
        <f t="shared" si="17"/>
        <v>0</v>
      </c>
      <c r="AP22" s="81">
        <f t="shared" si="11"/>
        <v>0</v>
      </c>
      <c r="AQ22" s="70"/>
      <c r="AR22" s="28"/>
      <c r="AS22" s="73"/>
      <c r="AT22" s="77">
        <f t="shared" si="18"/>
        <v>0</v>
      </c>
      <c r="AU22" s="81">
        <f t="shared" si="12"/>
        <v>0</v>
      </c>
      <c r="AV22" s="70"/>
      <c r="AW22" s="28"/>
      <c r="AX22" s="73"/>
      <c r="AY22" s="77">
        <f t="shared" si="19"/>
        <v>0</v>
      </c>
      <c r="AZ22" s="81">
        <f t="shared" si="13"/>
        <v>0</v>
      </c>
      <c r="BA22" s="78"/>
      <c r="BB22" s="79">
        <f t="shared" si="22"/>
        <v>0</v>
      </c>
      <c r="BC22" s="80">
        <f t="shared" si="20"/>
        <v>4</v>
      </c>
      <c r="BD22" s="81">
        <f t="shared" si="21"/>
        <v>4</v>
      </c>
      <c r="BE22" s="73"/>
    </row>
    <row r="23" spans="1:57" s="31" customFormat="1" ht="17.5" customHeight="1" x14ac:dyDescent="0.35">
      <c r="A23" s="241"/>
      <c r="B23" s="243"/>
      <c r="C23" s="245"/>
      <c r="D23" s="245"/>
      <c r="E23" s="246" t="s">
        <v>52</v>
      </c>
      <c r="F23" s="246" t="s">
        <v>58</v>
      </c>
      <c r="G23" s="249">
        <v>4</v>
      </c>
      <c r="H23" s="249">
        <v>2</v>
      </c>
      <c r="I23" s="256">
        <v>8</v>
      </c>
      <c r="J23" s="262"/>
      <c r="K23" s="265"/>
      <c r="L23" s="54">
        <v>4</v>
      </c>
      <c r="M23" s="268"/>
      <c r="N23" s="271"/>
      <c r="O23" s="55">
        <v>1</v>
      </c>
      <c r="P23" s="97" t="s">
        <v>54</v>
      </c>
      <c r="Q23" s="57">
        <v>0.54166666666666663</v>
      </c>
      <c r="R23" s="57">
        <v>0.875</v>
      </c>
      <c r="S23" s="57"/>
      <c r="T23" s="57"/>
      <c r="U23" s="210"/>
      <c r="V23" s="57" t="s">
        <v>43</v>
      </c>
      <c r="W23" s="59"/>
      <c r="X23" s="83"/>
      <c r="Y23" s="65"/>
      <c r="Z23" s="29">
        <f t="shared" si="0"/>
        <v>0</v>
      </c>
      <c r="AA23" s="64">
        <f t="shared" si="8"/>
        <v>0</v>
      </c>
      <c r="AB23" s="59"/>
      <c r="AC23" s="83"/>
      <c r="AD23" s="83"/>
      <c r="AE23" s="62">
        <f t="shared" si="15"/>
        <v>0</v>
      </c>
      <c r="AF23" s="64">
        <f t="shared" si="9"/>
        <v>0</v>
      </c>
      <c r="AG23" s="59"/>
      <c r="AH23" s="83"/>
      <c r="AI23" s="65"/>
      <c r="AJ23" s="29">
        <f t="shared" si="16"/>
        <v>0</v>
      </c>
      <c r="AK23" s="64">
        <f t="shared" si="10"/>
        <v>0</v>
      </c>
      <c r="AL23" s="59"/>
      <c r="AM23" s="83"/>
      <c r="AN23" s="65"/>
      <c r="AO23" s="29">
        <f t="shared" si="17"/>
        <v>0</v>
      </c>
      <c r="AP23" s="64">
        <f t="shared" si="11"/>
        <v>0</v>
      </c>
      <c r="AQ23" s="59"/>
      <c r="AR23" s="83"/>
      <c r="AS23" s="65"/>
      <c r="AT23" s="29">
        <f t="shared" si="18"/>
        <v>0</v>
      </c>
      <c r="AU23" s="64">
        <f t="shared" si="12"/>
        <v>0</v>
      </c>
      <c r="AV23" s="59"/>
      <c r="AW23" s="83"/>
      <c r="AX23" s="65"/>
      <c r="AY23" s="29">
        <f t="shared" si="19"/>
        <v>0</v>
      </c>
      <c r="AZ23" s="64">
        <f t="shared" si="13"/>
        <v>0</v>
      </c>
      <c r="BA23" s="62"/>
      <c r="BB23" s="63">
        <f t="shared" si="22"/>
        <v>0</v>
      </c>
      <c r="BC23" s="13">
        <f t="shared" si="20"/>
        <v>4</v>
      </c>
      <c r="BD23" s="64">
        <f t="shared" si="21"/>
        <v>4</v>
      </c>
      <c r="BE23" s="65"/>
    </row>
    <row r="24" spans="1:57" s="31" customFormat="1" ht="17.5" customHeight="1" thickBot="1" x14ac:dyDescent="0.4">
      <c r="A24" s="241"/>
      <c r="B24" s="243"/>
      <c r="C24" s="245"/>
      <c r="D24" s="245"/>
      <c r="E24" s="248"/>
      <c r="F24" s="248"/>
      <c r="G24" s="251"/>
      <c r="H24" s="251"/>
      <c r="I24" s="260"/>
      <c r="J24" s="262"/>
      <c r="K24" s="265"/>
      <c r="L24" s="54">
        <v>4</v>
      </c>
      <c r="M24" s="268"/>
      <c r="N24" s="271"/>
      <c r="O24" s="75">
        <v>2</v>
      </c>
      <c r="P24" s="98" t="s">
        <v>59</v>
      </c>
      <c r="Q24" s="86">
        <v>0.54166666666666663</v>
      </c>
      <c r="R24" s="86">
        <v>0.875</v>
      </c>
      <c r="S24" s="86"/>
      <c r="T24" s="86"/>
      <c r="U24" s="126"/>
      <c r="V24" s="86" t="s">
        <v>43</v>
      </c>
      <c r="W24" s="89"/>
      <c r="X24" s="90"/>
      <c r="Y24" s="91"/>
      <c r="Z24" s="77">
        <f t="shared" si="0"/>
        <v>0</v>
      </c>
      <c r="AA24" s="81">
        <f t="shared" si="8"/>
        <v>0</v>
      </c>
      <c r="AB24" s="89"/>
      <c r="AC24" s="90"/>
      <c r="AD24" s="90"/>
      <c r="AE24" s="78">
        <f t="shared" si="15"/>
        <v>0</v>
      </c>
      <c r="AF24" s="81">
        <f t="shared" si="9"/>
        <v>0</v>
      </c>
      <c r="AG24" s="89"/>
      <c r="AH24" s="90"/>
      <c r="AI24" s="91"/>
      <c r="AJ24" s="77">
        <f t="shared" si="16"/>
        <v>0</v>
      </c>
      <c r="AK24" s="81">
        <f t="shared" si="10"/>
        <v>0</v>
      </c>
      <c r="AL24" s="89"/>
      <c r="AM24" s="90"/>
      <c r="AN24" s="91"/>
      <c r="AO24" s="77">
        <f t="shared" si="17"/>
        <v>0</v>
      </c>
      <c r="AP24" s="81">
        <f t="shared" si="11"/>
        <v>0</v>
      </c>
      <c r="AQ24" s="89"/>
      <c r="AR24" s="90"/>
      <c r="AS24" s="91"/>
      <c r="AT24" s="77">
        <f t="shared" si="18"/>
        <v>0</v>
      </c>
      <c r="AU24" s="81">
        <f t="shared" si="12"/>
        <v>0</v>
      </c>
      <c r="AV24" s="89"/>
      <c r="AW24" s="90"/>
      <c r="AX24" s="91"/>
      <c r="AY24" s="77">
        <f t="shared" si="19"/>
        <v>0</v>
      </c>
      <c r="AZ24" s="81">
        <f t="shared" si="13"/>
        <v>0</v>
      </c>
      <c r="BA24" s="78"/>
      <c r="BB24" s="79">
        <f t="shared" si="22"/>
        <v>0</v>
      </c>
      <c r="BC24" s="80">
        <f t="shared" si="20"/>
        <v>4</v>
      </c>
      <c r="BD24" s="81">
        <f t="shared" si="21"/>
        <v>4</v>
      </c>
      <c r="BE24" s="91"/>
    </row>
    <row r="25" spans="1:57" s="31" customFormat="1" ht="17.5" customHeight="1" x14ac:dyDescent="0.35">
      <c r="A25" s="241"/>
      <c r="B25" s="244"/>
      <c r="C25" s="245"/>
      <c r="D25" s="245"/>
      <c r="E25" s="258" t="s">
        <v>60</v>
      </c>
      <c r="F25" s="259"/>
      <c r="G25" s="92"/>
      <c r="H25" s="93">
        <v>8</v>
      </c>
      <c r="I25" s="94">
        <f>SUM(I17:I23)</f>
        <v>32</v>
      </c>
      <c r="J25" s="263"/>
      <c r="K25" s="266"/>
      <c r="L25" s="95">
        <f>SUM(L17:L24)</f>
        <v>32</v>
      </c>
      <c r="M25" s="269"/>
      <c r="N25" s="272"/>
      <c r="O25" s="99"/>
      <c r="P25" s="198"/>
      <c r="Q25" s="68"/>
      <c r="R25" s="68"/>
      <c r="S25" s="68"/>
      <c r="T25" s="68"/>
      <c r="U25" s="211"/>
      <c r="V25" s="199"/>
      <c r="W25" s="200"/>
      <c r="X25" s="201"/>
      <c r="Y25" s="202"/>
      <c r="Z25" s="203"/>
      <c r="AA25" s="203"/>
      <c r="AB25" s="200"/>
      <c r="AC25" s="201"/>
      <c r="AD25" s="201"/>
      <c r="AE25" s="204"/>
      <c r="AF25" s="203"/>
      <c r="AG25" s="200"/>
      <c r="AH25" s="201"/>
      <c r="AI25" s="202"/>
      <c r="AJ25" s="203"/>
      <c r="AK25" s="203"/>
      <c r="AL25" s="200"/>
      <c r="AM25" s="201"/>
      <c r="AN25" s="202"/>
      <c r="AO25" s="203"/>
      <c r="AP25" s="203"/>
      <c r="AQ25" s="200"/>
      <c r="AR25" s="201"/>
      <c r="AS25" s="202"/>
      <c r="AT25" s="203"/>
      <c r="AU25" s="203"/>
      <c r="AV25" s="200"/>
      <c r="AW25" s="201"/>
      <c r="AX25" s="202"/>
      <c r="AY25" s="203"/>
      <c r="AZ25" s="203"/>
      <c r="BA25" s="204"/>
      <c r="BB25" s="205"/>
      <c r="BC25" s="203"/>
      <c r="BD25" s="228">
        <f>SUM(BD17:BD24)</f>
        <v>32</v>
      </c>
      <c r="BE25" s="202"/>
    </row>
    <row r="26" spans="1:57" s="31" customFormat="1" ht="17.5" customHeight="1" thickBot="1" x14ac:dyDescent="0.4">
      <c r="A26" s="100"/>
      <c r="B26" s="101"/>
      <c r="C26" s="102"/>
      <c r="D26" s="102"/>
      <c r="E26" s="101"/>
      <c r="F26" s="101"/>
      <c r="G26" s="101"/>
      <c r="H26" s="101"/>
      <c r="I26" s="101"/>
      <c r="J26" s="102"/>
      <c r="K26" s="103"/>
      <c r="L26" s="104"/>
      <c r="M26" s="105"/>
      <c r="N26" s="105"/>
      <c r="O26" s="99"/>
      <c r="P26" s="198"/>
      <c r="Q26" s="68"/>
      <c r="R26" s="68"/>
      <c r="S26" s="68"/>
      <c r="T26" s="68"/>
      <c r="U26" s="209"/>
      <c r="V26" s="199"/>
      <c r="W26" s="200"/>
      <c r="X26" s="201"/>
      <c r="Y26" s="202"/>
      <c r="Z26" s="194"/>
      <c r="AA26" s="203"/>
      <c r="AB26" s="200"/>
      <c r="AC26" s="201"/>
      <c r="AD26" s="201"/>
      <c r="AE26" s="206"/>
      <c r="AF26" s="203"/>
      <c r="AG26" s="200"/>
      <c r="AH26" s="201"/>
      <c r="AI26" s="202"/>
      <c r="AJ26" s="194"/>
      <c r="AK26" s="203"/>
      <c r="AL26" s="200"/>
      <c r="AM26" s="201"/>
      <c r="AN26" s="202"/>
      <c r="AO26" s="194"/>
      <c r="AP26" s="203"/>
      <c r="AQ26" s="200"/>
      <c r="AR26" s="201"/>
      <c r="AS26" s="202"/>
      <c r="AT26" s="194"/>
      <c r="AU26" s="203"/>
      <c r="AV26" s="200"/>
      <c r="AW26" s="201"/>
      <c r="AX26" s="202"/>
      <c r="AY26" s="194"/>
      <c r="AZ26" s="203"/>
      <c r="BA26" s="206"/>
      <c r="BB26" s="207"/>
      <c r="BC26" s="194"/>
      <c r="BD26" s="208"/>
      <c r="BE26" s="202"/>
    </row>
    <row r="27" spans="1:57" s="31" customFormat="1" x14ac:dyDescent="0.35">
      <c r="A27" s="241">
        <v>2</v>
      </c>
      <c r="B27" s="242" t="s">
        <v>36</v>
      </c>
      <c r="C27" s="245" t="s">
        <v>61</v>
      </c>
      <c r="D27" s="245" t="s">
        <v>62</v>
      </c>
      <c r="E27" s="276">
        <v>0.29166666666666669</v>
      </c>
      <c r="F27" s="276">
        <v>0.625</v>
      </c>
      <c r="G27" s="278">
        <v>8</v>
      </c>
      <c r="H27" s="278">
        <v>2</v>
      </c>
      <c r="I27" s="281">
        <f xml:space="preserve"> SUM(G27*H27)</f>
        <v>16</v>
      </c>
      <c r="J27" s="286">
        <f xml:space="preserve"> I50/8*3</f>
        <v>66.5625</v>
      </c>
      <c r="K27" s="287" t="s">
        <v>63</v>
      </c>
      <c r="L27" s="54">
        <v>7</v>
      </c>
      <c r="M27" s="288">
        <f>L50/8</f>
        <v>19.8125</v>
      </c>
      <c r="N27" s="237">
        <f>SUM(BD27:BD49)/8</f>
        <v>19.8125</v>
      </c>
      <c r="O27" s="55">
        <v>1</v>
      </c>
      <c r="P27" s="82" t="s">
        <v>64</v>
      </c>
      <c r="Q27" s="57">
        <v>0.29166666666666669</v>
      </c>
      <c r="R27" s="57">
        <v>0.625</v>
      </c>
      <c r="S27" s="57"/>
      <c r="T27" s="57"/>
      <c r="U27" s="118"/>
      <c r="V27" s="57" t="s">
        <v>65</v>
      </c>
      <c r="W27" s="59"/>
      <c r="X27" s="83"/>
      <c r="Y27" s="65"/>
      <c r="Z27" s="29">
        <f t="shared" ref="Z27:Z44" si="23">(Y27-X27)*24</f>
        <v>0</v>
      </c>
      <c r="AA27" s="64">
        <f t="shared" ref="AA27:AA49" si="24">IF(Z27&gt;=6, (Z27-1), IF(Z27&lt;6, Z27))</f>
        <v>0</v>
      </c>
      <c r="AB27" s="59"/>
      <c r="AC27" s="83"/>
      <c r="AD27" s="83"/>
      <c r="AE27" s="62">
        <f t="shared" ref="AE27:AE44" si="25">(AD27-AC27)*24</f>
        <v>0</v>
      </c>
      <c r="AF27" s="64">
        <f t="shared" ref="AF27:AF49" si="26">IF(AE27&gt;=6, (AE27-1), IF(AE27&lt;6, AE27))</f>
        <v>0</v>
      </c>
      <c r="AG27" s="59"/>
      <c r="AH27" s="83"/>
      <c r="AI27" s="65"/>
      <c r="AJ27" s="29">
        <f t="shared" ref="AJ27:AJ44" si="27">(AI27-AH27)*24</f>
        <v>0</v>
      </c>
      <c r="AK27" s="64">
        <f t="shared" ref="AK27:AK49" si="28">IF(AJ27&gt;=6, (AJ27-1), IF(AJ27&lt;6, AJ27))</f>
        <v>0</v>
      </c>
      <c r="AL27" s="59"/>
      <c r="AM27" s="83"/>
      <c r="AN27" s="65"/>
      <c r="AO27" s="29">
        <f t="shared" ref="AO27:AO44" si="29">(AN27-AM27)*24</f>
        <v>0</v>
      </c>
      <c r="AP27" s="64">
        <f t="shared" ref="AP27:AP49" si="30">IF(AO27&gt;=6, (AO27-1), IF(AO27&lt;6, AO27))</f>
        <v>0</v>
      </c>
      <c r="AQ27" s="59"/>
      <c r="AR27" s="83"/>
      <c r="AS27" s="65"/>
      <c r="AT27" s="29">
        <f t="shared" ref="AT27:AT44" si="31">(AS27-AR27)*24</f>
        <v>0</v>
      </c>
      <c r="AU27" s="64">
        <f t="shared" ref="AU27:AU49" si="32">IF(AT27&gt;=6, (AT27-1), IF(AT27&lt;6, AT27))</f>
        <v>0</v>
      </c>
      <c r="AV27" s="59"/>
      <c r="AW27" s="83"/>
      <c r="AX27" s="65"/>
      <c r="AY27" s="29">
        <f t="shared" ref="AY27:AY44" si="33">(AX27-AW27)*24</f>
        <v>0</v>
      </c>
      <c r="AZ27" s="64">
        <f t="shared" ref="AZ27:AZ49" si="34">IF(AY27&gt;=6, (AY27-1), IF(AY27&lt;6, AY27))</f>
        <v>0</v>
      </c>
      <c r="BA27" s="62"/>
      <c r="BB27" s="63">
        <f>AA27+AF27+AK27+AP27+AU27+AZ27</f>
        <v>0</v>
      </c>
      <c r="BC27" s="13">
        <f t="shared" ref="BC27:BC49" si="35">IF(BB27&gt;0, BB27, IF(BB27=0, L27))</f>
        <v>7</v>
      </c>
      <c r="BD27" s="64">
        <f t="shared" ref="BD27:BD49" si="36">IF(BA27=1, (BC27-L27), IF(BA27=0, BC27))</f>
        <v>7</v>
      </c>
      <c r="BE27" s="65"/>
    </row>
    <row r="28" spans="1:57" s="31" customFormat="1" ht="17.5" customHeight="1" thickBot="1" x14ac:dyDescent="0.4">
      <c r="A28" s="241"/>
      <c r="B28" s="243"/>
      <c r="C28" s="245"/>
      <c r="D28" s="245"/>
      <c r="E28" s="277"/>
      <c r="F28" s="277"/>
      <c r="G28" s="280"/>
      <c r="H28" s="280"/>
      <c r="I28" s="283"/>
      <c r="J28" s="286"/>
      <c r="K28" s="287"/>
      <c r="L28" s="54">
        <v>7</v>
      </c>
      <c r="M28" s="288"/>
      <c r="N28" s="237"/>
      <c r="O28" s="75">
        <v>2</v>
      </c>
      <c r="P28" s="107" t="s">
        <v>66</v>
      </c>
      <c r="Q28" s="86">
        <v>0.29166666666666669</v>
      </c>
      <c r="R28" s="86">
        <v>0.625</v>
      </c>
      <c r="S28" s="86"/>
      <c r="T28" s="86"/>
      <c r="U28" s="126"/>
      <c r="V28" s="86"/>
      <c r="W28" s="89"/>
      <c r="X28" s="90"/>
      <c r="Y28" s="91"/>
      <c r="Z28" s="77">
        <f t="shared" si="23"/>
        <v>0</v>
      </c>
      <c r="AA28" s="81">
        <f t="shared" si="24"/>
        <v>0</v>
      </c>
      <c r="AB28" s="89"/>
      <c r="AC28" s="90"/>
      <c r="AD28" s="90"/>
      <c r="AE28" s="78">
        <f t="shared" si="25"/>
        <v>0</v>
      </c>
      <c r="AF28" s="81">
        <f t="shared" si="26"/>
        <v>0</v>
      </c>
      <c r="AG28" s="89"/>
      <c r="AH28" s="90"/>
      <c r="AI28" s="91"/>
      <c r="AJ28" s="77">
        <f t="shared" si="27"/>
        <v>0</v>
      </c>
      <c r="AK28" s="81">
        <f t="shared" si="28"/>
        <v>0</v>
      </c>
      <c r="AL28" s="89"/>
      <c r="AM28" s="90"/>
      <c r="AN28" s="91"/>
      <c r="AO28" s="77">
        <f t="shared" si="29"/>
        <v>0</v>
      </c>
      <c r="AP28" s="81">
        <f t="shared" si="30"/>
        <v>0</v>
      </c>
      <c r="AQ28" s="89"/>
      <c r="AR28" s="90"/>
      <c r="AS28" s="91"/>
      <c r="AT28" s="77">
        <f t="shared" si="31"/>
        <v>0</v>
      </c>
      <c r="AU28" s="81">
        <f t="shared" si="32"/>
        <v>0</v>
      </c>
      <c r="AV28" s="89"/>
      <c r="AW28" s="90"/>
      <c r="AX28" s="91"/>
      <c r="AY28" s="77">
        <f t="shared" si="33"/>
        <v>0</v>
      </c>
      <c r="AZ28" s="81">
        <f t="shared" si="34"/>
        <v>0</v>
      </c>
      <c r="BA28" s="78"/>
      <c r="BB28" s="79">
        <f t="shared" ref="BB28:BB49" si="37">AA28+AF28+AK28+AP28+AU28+AZ28</f>
        <v>0</v>
      </c>
      <c r="BC28" s="80">
        <f t="shared" si="35"/>
        <v>7</v>
      </c>
      <c r="BD28" s="81">
        <f t="shared" si="36"/>
        <v>7</v>
      </c>
      <c r="BE28" s="91"/>
    </row>
    <row r="29" spans="1:57" s="31" customFormat="1" ht="17.5" customHeight="1" x14ac:dyDescent="0.35">
      <c r="A29" s="241"/>
      <c r="B29" s="243"/>
      <c r="C29" s="245"/>
      <c r="D29" s="245"/>
      <c r="E29" s="284" t="s">
        <v>39</v>
      </c>
      <c r="F29" s="278" t="s">
        <v>67</v>
      </c>
      <c r="G29" s="278">
        <v>8</v>
      </c>
      <c r="H29" s="278">
        <v>2</v>
      </c>
      <c r="I29" s="281">
        <f xml:space="preserve"> SUM(G29*H29)</f>
        <v>16</v>
      </c>
      <c r="J29" s="286"/>
      <c r="K29" s="287"/>
      <c r="L29" s="54">
        <v>7</v>
      </c>
      <c r="M29" s="288"/>
      <c r="N29" s="237"/>
      <c r="O29" s="55">
        <v>1</v>
      </c>
      <c r="P29" s="56" t="s">
        <v>68</v>
      </c>
      <c r="Q29" s="57">
        <v>0.33333333333333331</v>
      </c>
      <c r="R29" s="57">
        <v>0.66666666666666663</v>
      </c>
      <c r="S29" s="57">
        <v>0.54166666666666663</v>
      </c>
      <c r="T29" s="57">
        <v>0.875</v>
      </c>
      <c r="U29" s="210"/>
      <c r="V29" s="57" t="s">
        <v>69</v>
      </c>
      <c r="W29" s="59"/>
      <c r="X29" s="83"/>
      <c r="Y29" s="65"/>
      <c r="Z29" s="29">
        <f t="shared" si="23"/>
        <v>0</v>
      </c>
      <c r="AA29" s="64">
        <f t="shared" si="24"/>
        <v>0</v>
      </c>
      <c r="AB29" s="59"/>
      <c r="AC29" s="83"/>
      <c r="AD29" s="83"/>
      <c r="AE29" s="62">
        <f t="shared" si="25"/>
        <v>0</v>
      </c>
      <c r="AF29" s="64">
        <f t="shared" si="26"/>
        <v>0</v>
      </c>
      <c r="AG29" s="59"/>
      <c r="AH29" s="83"/>
      <c r="AI29" s="65"/>
      <c r="AJ29" s="29">
        <f t="shared" si="27"/>
        <v>0</v>
      </c>
      <c r="AK29" s="64">
        <f t="shared" si="28"/>
        <v>0</v>
      </c>
      <c r="AL29" s="59"/>
      <c r="AM29" s="83"/>
      <c r="AN29" s="65"/>
      <c r="AO29" s="29">
        <f t="shared" si="29"/>
        <v>0</v>
      </c>
      <c r="AP29" s="64">
        <f t="shared" si="30"/>
        <v>0</v>
      </c>
      <c r="AQ29" s="59"/>
      <c r="AR29" s="83"/>
      <c r="AS29" s="65"/>
      <c r="AT29" s="29">
        <f t="shared" si="31"/>
        <v>0</v>
      </c>
      <c r="AU29" s="64">
        <f t="shared" si="32"/>
        <v>0</v>
      </c>
      <c r="AV29" s="59"/>
      <c r="AW29" s="83"/>
      <c r="AX29" s="65"/>
      <c r="AY29" s="29">
        <f t="shared" si="33"/>
        <v>0</v>
      </c>
      <c r="AZ29" s="64">
        <f t="shared" si="34"/>
        <v>0</v>
      </c>
      <c r="BA29" s="62"/>
      <c r="BB29" s="63">
        <f t="shared" si="37"/>
        <v>0</v>
      </c>
      <c r="BC29" s="13">
        <f t="shared" si="35"/>
        <v>7</v>
      </c>
      <c r="BD29" s="64">
        <f t="shared" si="36"/>
        <v>7</v>
      </c>
      <c r="BE29" s="65"/>
    </row>
    <row r="30" spans="1:57" s="31" customFormat="1" ht="21.75" customHeight="1" thickBot="1" x14ac:dyDescent="0.4">
      <c r="A30" s="241"/>
      <c r="B30" s="243"/>
      <c r="C30" s="245"/>
      <c r="D30" s="245"/>
      <c r="E30" s="285"/>
      <c r="F30" s="280"/>
      <c r="G30" s="280"/>
      <c r="H30" s="280"/>
      <c r="I30" s="283"/>
      <c r="J30" s="286"/>
      <c r="K30" s="287"/>
      <c r="L30" s="54">
        <v>7</v>
      </c>
      <c r="M30" s="288"/>
      <c r="N30" s="237"/>
      <c r="O30" s="75">
        <v>2</v>
      </c>
      <c r="P30" s="85" t="s">
        <v>70</v>
      </c>
      <c r="Q30" s="86">
        <v>0.33333333333333331</v>
      </c>
      <c r="R30" s="86">
        <v>0.66666666666666663</v>
      </c>
      <c r="S30" s="86">
        <v>0.29166666666666669</v>
      </c>
      <c r="T30" s="86">
        <v>0.5</v>
      </c>
      <c r="U30" s="126"/>
      <c r="V30" s="86" t="s">
        <v>69</v>
      </c>
      <c r="W30" s="89"/>
      <c r="X30" s="90"/>
      <c r="Y30" s="91"/>
      <c r="Z30" s="77">
        <f t="shared" si="23"/>
        <v>0</v>
      </c>
      <c r="AA30" s="81">
        <f t="shared" si="24"/>
        <v>0</v>
      </c>
      <c r="AB30" s="89"/>
      <c r="AC30" s="90"/>
      <c r="AD30" s="90"/>
      <c r="AE30" s="78">
        <f t="shared" si="25"/>
        <v>0</v>
      </c>
      <c r="AF30" s="81">
        <f t="shared" si="26"/>
        <v>0</v>
      </c>
      <c r="AG30" s="89"/>
      <c r="AH30" s="90"/>
      <c r="AI30" s="91"/>
      <c r="AJ30" s="77">
        <f t="shared" si="27"/>
        <v>0</v>
      </c>
      <c r="AK30" s="81">
        <f t="shared" si="28"/>
        <v>0</v>
      </c>
      <c r="AL30" s="89"/>
      <c r="AM30" s="90"/>
      <c r="AN30" s="91"/>
      <c r="AO30" s="77">
        <f t="shared" si="29"/>
        <v>0</v>
      </c>
      <c r="AP30" s="81">
        <f t="shared" si="30"/>
        <v>0</v>
      </c>
      <c r="AQ30" s="89"/>
      <c r="AR30" s="90"/>
      <c r="AS30" s="91"/>
      <c r="AT30" s="77">
        <f t="shared" si="31"/>
        <v>0</v>
      </c>
      <c r="AU30" s="81">
        <f t="shared" si="32"/>
        <v>0</v>
      </c>
      <c r="AV30" s="89"/>
      <c r="AW30" s="90"/>
      <c r="AX30" s="91"/>
      <c r="AY30" s="77">
        <f t="shared" si="33"/>
        <v>0</v>
      </c>
      <c r="AZ30" s="81">
        <f t="shared" si="34"/>
        <v>0</v>
      </c>
      <c r="BA30" s="78"/>
      <c r="BB30" s="79">
        <f t="shared" si="37"/>
        <v>0</v>
      </c>
      <c r="BC30" s="80">
        <f t="shared" si="35"/>
        <v>7</v>
      </c>
      <c r="BD30" s="81">
        <f t="shared" si="36"/>
        <v>7</v>
      </c>
      <c r="BE30" s="91"/>
    </row>
    <row r="31" spans="1:57" s="31" customFormat="1" ht="17.5" customHeight="1" thickBot="1" x14ac:dyDescent="0.4">
      <c r="A31" s="241"/>
      <c r="B31" s="243"/>
      <c r="C31" s="245"/>
      <c r="D31" s="245"/>
      <c r="E31" s="51" t="s">
        <v>71</v>
      </c>
      <c r="F31" s="51" t="s">
        <v>58</v>
      </c>
      <c r="G31" s="51">
        <v>8</v>
      </c>
      <c r="H31" s="51">
        <v>1</v>
      </c>
      <c r="I31" s="108">
        <f xml:space="preserve"> SUM(G31*H31)</f>
        <v>8</v>
      </c>
      <c r="J31" s="286"/>
      <c r="K31" s="287"/>
      <c r="L31" s="54">
        <v>7</v>
      </c>
      <c r="M31" s="288"/>
      <c r="N31" s="237"/>
      <c r="O31" s="109">
        <v>1</v>
      </c>
      <c r="P31" s="110" t="s">
        <v>72</v>
      </c>
      <c r="Q31" s="111">
        <v>0.33333333333333331</v>
      </c>
      <c r="R31" s="111">
        <v>0.70833333333333337</v>
      </c>
      <c r="S31" s="111"/>
      <c r="T31" s="111"/>
      <c r="U31" s="126"/>
      <c r="V31" s="111" t="s">
        <v>73</v>
      </c>
      <c r="W31" s="112"/>
      <c r="X31" s="90"/>
      <c r="Y31" s="91"/>
      <c r="Z31" s="113">
        <f t="shared" si="23"/>
        <v>0</v>
      </c>
      <c r="AA31" s="81">
        <f t="shared" si="24"/>
        <v>0</v>
      </c>
      <c r="AB31" s="112"/>
      <c r="AC31" s="90"/>
      <c r="AD31" s="90"/>
      <c r="AE31" s="123">
        <f t="shared" si="25"/>
        <v>0</v>
      </c>
      <c r="AF31" s="81">
        <f t="shared" si="26"/>
        <v>0</v>
      </c>
      <c r="AG31" s="112"/>
      <c r="AH31" s="90"/>
      <c r="AI31" s="91"/>
      <c r="AJ31" s="113">
        <f t="shared" si="27"/>
        <v>0</v>
      </c>
      <c r="AK31" s="81">
        <f t="shared" si="28"/>
        <v>0</v>
      </c>
      <c r="AL31" s="112"/>
      <c r="AM31" s="90"/>
      <c r="AN31" s="91"/>
      <c r="AO31" s="113">
        <f t="shared" si="29"/>
        <v>0</v>
      </c>
      <c r="AP31" s="81">
        <f t="shared" si="30"/>
        <v>0</v>
      </c>
      <c r="AQ31" s="112"/>
      <c r="AR31" s="90"/>
      <c r="AS31" s="91"/>
      <c r="AT31" s="113">
        <f t="shared" si="31"/>
        <v>0</v>
      </c>
      <c r="AU31" s="81">
        <f t="shared" si="32"/>
        <v>0</v>
      </c>
      <c r="AV31" s="112"/>
      <c r="AW31" s="90"/>
      <c r="AX31" s="91"/>
      <c r="AY31" s="113">
        <f t="shared" si="33"/>
        <v>0</v>
      </c>
      <c r="AZ31" s="81">
        <f t="shared" si="34"/>
        <v>0</v>
      </c>
      <c r="BA31" s="78"/>
      <c r="BB31" s="114">
        <f t="shared" si="37"/>
        <v>0</v>
      </c>
      <c r="BC31" s="115">
        <f t="shared" si="35"/>
        <v>7</v>
      </c>
      <c r="BD31" s="81">
        <f t="shared" si="36"/>
        <v>7</v>
      </c>
      <c r="BE31" s="91"/>
    </row>
    <row r="32" spans="1:57" s="31" customFormat="1" ht="17.5" customHeight="1" x14ac:dyDescent="0.35">
      <c r="A32" s="241"/>
      <c r="B32" s="243"/>
      <c r="C32" s="245"/>
      <c r="D32" s="245"/>
      <c r="E32" s="278" t="s">
        <v>74</v>
      </c>
      <c r="F32" s="278" t="s">
        <v>75</v>
      </c>
      <c r="G32" s="278">
        <v>8</v>
      </c>
      <c r="H32" s="278">
        <v>3</v>
      </c>
      <c r="I32" s="281">
        <f xml:space="preserve"> SUM(G32*H32)</f>
        <v>24</v>
      </c>
      <c r="J32" s="286"/>
      <c r="K32" s="287"/>
      <c r="L32" s="54">
        <v>7</v>
      </c>
      <c r="M32" s="288"/>
      <c r="N32" s="237"/>
      <c r="O32" s="55">
        <v>1</v>
      </c>
      <c r="P32" s="116" t="s">
        <v>76</v>
      </c>
      <c r="Q32" s="26">
        <v>0.33333333333333331</v>
      </c>
      <c r="R32" s="26">
        <v>0.83333333333333337</v>
      </c>
      <c r="S32" s="57"/>
      <c r="T32" s="57"/>
      <c r="U32" s="210"/>
      <c r="V32" s="57" t="s">
        <v>77</v>
      </c>
      <c r="W32" s="59"/>
      <c r="X32" s="83"/>
      <c r="Y32" s="65"/>
      <c r="Z32" s="29">
        <f t="shared" si="23"/>
        <v>0</v>
      </c>
      <c r="AA32" s="64">
        <f t="shared" si="24"/>
        <v>0</v>
      </c>
      <c r="AB32" s="59"/>
      <c r="AC32" s="83"/>
      <c r="AD32" s="83"/>
      <c r="AE32" s="62">
        <f t="shared" si="25"/>
        <v>0</v>
      </c>
      <c r="AF32" s="64">
        <f t="shared" si="26"/>
        <v>0</v>
      </c>
      <c r="AG32" s="59"/>
      <c r="AH32" s="83"/>
      <c r="AI32" s="65"/>
      <c r="AJ32" s="29">
        <f t="shared" si="27"/>
        <v>0</v>
      </c>
      <c r="AK32" s="64">
        <f t="shared" si="28"/>
        <v>0</v>
      </c>
      <c r="AL32" s="59"/>
      <c r="AM32" s="83"/>
      <c r="AN32" s="65"/>
      <c r="AO32" s="29">
        <f t="shared" si="29"/>
        <v>0</v>
      </c>
      <c r="AP32" s="64">
        <f t="shared" si="30"/>
        <v>0</v>
      </c>
      <c r="AQ32" s="59"/>
      <c r="AR32" s="83"/>
      <c r="AS32" s="65"/>
      <c r="AT32" s="29">
        <f t="shared" si="31"/>
        <v>0</v>
      </c>
      <c r="AU32" s="64">
        <f t="shared" si="32"/>
        <v>0</v>
      </c>
      <c r="AV32" s="59"/>
      <c r="AW32" s="83"/>
      <c r="AX32" s="65"/>
      <c r="AY32" s="29">
        <f t="shared" si="33"/>
        <v>0</v>
      </c>
      <c r="AZ32" s="64">
        <f t="shared" si="34"/>
        <v>0</v>
      </c>
      <c r="BA32" s="62"/>
      <c r="BB32" s="63">
        <f t="shared" si="37"/>
        <v>0</v>
      </c>
      <c r="BC32" s="13">
        <f t="shared" si="35"/>
        <v>7</v>
      </c>
      <c r="BD32" s="64">
        <f t="shared" si="36"/>
        <v>7</v>
      </c>
      <c r="BE32" s="65"/>
    </row>
    <row r="33" spans="1:57" s="31" customFormat="1" ht="17.5" customHeight="1" x14ac:dyDescent="0.35">
      <c r="A33" s="241"/>
      <c r="B33" s="243"/>
      <c r="C33" s="245"/>
      <c r="D33" s="245"/>
      <c r="E33" s="279"/>
      <c r="F33" s="279"/>
      <c r="G33" s="279"/>
      <c r="H33" s="279"/>
      <c r="I33" s="282"/>
      <c r="J33" s="286"/>
      <c r="K33" s="287"/>
      <c r="L33" s="54">
        <v>7</v>
      </c>
      <c r="M33" s="288"/>
      <c r="N33" s="237"/>
      <c r="O33" s="66">
        <v>2</v>
      </c>
      <c r="P33" s="117" t="s">
        <v>78</v>
      </c>
      <c r="Q33" s="26">
        <v>0.33333333333333331</v>
      </c>
      <c r="R33" s="26">
        <v>0.83333333333333337</v>
      </c>
      <c r="S33" s="26"/>
      <c r="T33" s="26"/>
      <c r="U33" s="118"/>
      <c r="V33" s="26" t="s">
        <v>79</v>
      </c>
      <c r="W33" s="70"/>
      <c r="X33" s="28"/>
      <c r="Y33" s="73"/>
      <c r="Z33" s="29">
        <f t="shared" si="23"/>
        <v>0</v>
      </c>
      <c r="AA33" s="64">
        <f t="shared" si="24"/>
        <v>0</v>
      </c>
      <c r="AB33" s="70"/>
      <c r="AC33" s="28"/>
      <c r="AD33" s="28"/>
      <c r="AE33" s="62">
        <f t="shared" si="25"/>
        <v>0</v>
      </c>
      <c r="AF33" s="64">
        <f t="shared" si="26"/>
        <v>0</v>
      </c>
      <c r="AG33" s="70"/>
      <c r="AH33" s="28"/>
      <c r="AI33" s="73"/>
      <c r="AJ33" s="29">
        <f t="shared" si="27"/>
        <v>0</v>
      </c>
      <c r="AK33" s="64">
        <f t="shared" si="28"/>
        <v>0</v>
      </c>
      <c r="AL33" s="70"/>
      <c r="AM33" s="28"/>
      <c r="AN33" s="73"/>
      <c r="AO33" s="29">
        <f t="shared" si="29"/>
        <v>0</v>
      </c>
      <c r="AP33" s="64">
        <f t="shared" si="30"/>
        <v>0</v>
      </c>
      <c r="AQ33" s="70"/>
      <c r="AR33" s="28"/>
      <c r="AS33" s="73"/>
      <c r="AT33" s="29">
        <f t="shared" si="31"/>
        <v>0</v>
      </c>
      <c r="AU33" s="64">
        <f t="shared" si="32"/>
        <v>0</v>
      </c>
      <c r="AV33" s="70"/>
      <c r="AW33" s="28"/>
      <c r="AX33" s="73"/>
      <c r="AY33" s="29">
        <f t="shared" si="33"/>
        <v>0</v>
      </c>
      <c r="AZ33" s="64">
        <f t="shared" si="34"/>
        <v>0</v>
      </c>
      <c r="BA33" s="62"/>
      <c r="BB33" s="63">
        <f t="shared" si="37"/>
        <v>0</v>
      </c>
      <c r="BC33" s="13">
        <f t="shared" si="35"/>
        <v>7</v>
      </c>
      <c r="BD33" s="64">
        <f t="shared" si="36"/>
        <v>7</v>
      </c>
      <c r="BE33" s="73"/>
    </row>
    <row r="34" spans="1:57" s="31" customFormat="1" ht="17.5" customHeight="1" thickBot="1" x14ac:dyDescent="0.4">
      <c r="A34" s="241"/>
      <c r="B34" s="243"/>
      <c r="C34" s="245"/>
      <c r="D34" s="245"/>
      <c r="E34" s="280"/>
      <c r="F34" s="280"/>
      <c r="G34" s="280"/>
      <c r="H34" s="280"/>
      <c r="I34" s="283"/>
      <c r="J34" s="286"/>
      <c r="K34" s="287"/>
      <c r="L34" s="54">
        <v>7</v>
      </c>
      <c r="M34" s="288"/>
      <c r="N34" s="237"/>
      <c r="O34" s="75">
        <v>3</v>
      </c>
      <c r="P34" s="119" t="s">
        <v>80</v>
      </c>
      <c r="Q34" s="86">
        <v>0.33333333333333331</v>
      </c>
      <c r="R34" s="86">
        <v>0.83333333333333337</v>
      </c>
      <c r="S34" s="86"/>
      <c r="T34" s="86"/>
      <c r="U34" s="126"/>
      <c r="V34" s="86" t="s">
        <v>77</v>
      </c>
      <c r="W34" s="89"/>
      <c r="X34" s="28"/>
      <c r="Y34" s="73"/>
      <c r="Z34" s="29">
        <f t="shared" si="23"/>
        <v>0</v>
      </c>
      <c r="AA34" s="81">
        <f t="shared" si="24"/>
        <v>0</v>
      </c>
      <c r="AB34" s="89"/>
      <c r="AC34" s="28"/>
      <c r="AD34" s="28"/>
      <c r="AE34" s="62">
        <f t="shared" si="25"/>
        <v>0</v>
      </c>
      <c r="AF34" s="81">
        <f t="shared" si="26"/>
        <v>0</v>
      </c>
      <c r="AG34" s="89"/>
      <c r="AH34" s="28"/>
      <c r="AI34" s="73"/>
      <c r="AJ34" s="29">
        <f t="shared" si="27"/>
        <v>0</v>
      </c>
      <c r="AK34" s="81">
        <f t="shared" si="28"/>
        <v>0</v>
      </c>
      <c r="AL34" s="89"/>
      <c r="AM34" s="28"/>
      <c r="AN34" s="73"/>
      <c r="AO34" s="29">
        <f t="shared" si="29"/>
        <v>0</v>
      </c>
      <c r="AP34" s="81">
        <f t="shared" si="30"/>
        <v>0</v>
      </c>
      <c r="AQ34" s="89"/>
      <c r="AR34" s="28"/>
      <c r="AS34" s="73"/>
      <c r="AT34" s="29">
        <f t="shared" si="31"/>
        <v>0</v>
      </c>
      <c r="AU34" s="81">
        <f t="shared" si="32"/>
        <v>0</v>
      </c>
      <c r="AV34" s="89"/>
      <c r="AW34" s="28"/>
      <c r="AX34" s="73"/>
      <c r="AY34" s="29">
        <f t="shared" si="33"/>
        <v>0</v>
      </c>
      <c r="AZ34" s="81">
        <f t="shared" si="34"/>
        <v>0</v>
      </c>
      <c r="BA34" s="62"/>
      <c r="BB34" s="79">
        <f t="shared" si="37"/>
        <v>0</v>
      </c>
      <c r="BC34" s="80">
        <f t="shared" si="35"/>
        <v>7</v>
      </c>
      <c r="BD34" s="81">
        <f t="shared" si="36"/>
        <v>7</v>
      </c>
      <c r="BE34" s="73"/>
    </row>
    <row r="35" spans="1:57" s="31" customFormat="1" ht="19" customHeight="1" thickBot="1" x14ac:dyDescent="0.4">
      <c r="A35" s="241"/>
      <c r="B35" s="243"/>
      <c r="C35" s="245"/>
      <c r="D35" s="245"/>
      <c r="E35" s="51" t="s">
        <v>81</v>
      </c>
      <c r="F35" s="51" t="s">
        <v>53</v>
      </c>
      <c r="G35" s="51">
        <v>7</v>
      </c>
      <c r="H35" s="51">
        <v>1</v>
      </c>
      <c r="I35" s="108">
        <f xml:space="preserve"> SUM(G35*H35)</f>
        <v>7</v>
      </c>
      <c r="J35" s="286"/>
      <c r="K35" s="287"/>
      <c r="L35" s="54">
        <v>6</v>
      </c>
      <c r="M35" s="288"/>
      <c r="N35" s="237"/>
      <c r="O35" s="109">
        <v>1</v>
      </c>
      <c r="P35" s="120" t="s">
        <v>82</v>
      </c>
      <c r="Q35" s="26">
        <v>0.45833333333333331</v>
      </c>
      <c r="R35" s="26">
        <v>0.79166666666666663</v>
      </c>
      <c r="S35" s="111"/>
      <c r="T35" s="111"/>
      <c r="U35" s="126"/>
      <c r="V35" s="86" t="s">
        <v>77</v>
      </c>
      <c r="W35" s="112"/>
      <c r="X35" s="121"/>
      <c r="Y35" s="122"/>
      <c r="Z35" s="113">
        <f t="shared" si="23"/>
        <v>0</v>
      </c>
      <c r="AA35" s="81">
        <f t="shared" si="24"/>
        <v>0</v>
      </c>
      <c r="AB35" s="112"/>
      <c r="AC35" s="121"/>
      <c r="AD35" s="121"/>
      <c r="AE35" s="123">
        <f t="shared" si="25"/>
        <v>0</v>
      </c>
      <c r="AF35" s="81">
        <f t="shared" si="26"/>
        <v>0</v>
      </c>
      <c r="AG35" s="112"/>
      <c r="AH35" s="121"/>
      <c r="AI35" s="122"/>
      <c r="AJ35" s="113">
        <f t="shared" si="27"/>
        <v>0</v>
      </c>
      <c r="AK35" s="81">
        <f t="shared" si="28"/>
        <v>0</v>
      </c>
      <c r="AL35" s="112"/>
      <c r="AM35" s="121"/>
      <c r="AN35" s="122"/>
      <c r="AO35" s="113">
        <f t="shared" si="29"/>
        <v>0</v>
      </c>
      <c r="AP35" s="81">
        <f t="shared" si="30"/>
        <v>0</v>
      </c>
      <c r="AQ35" s="112"/>
      <c r="AR35" s="121"/>
      <c r="AS35" s="122"/>
      <c r="AT35" s="113">
        <f t="shared" si="31"/>
        <v>0</v>
      </c>
      <c r="AU35" s="81">
        <f t="shared" si="32"/>
        <v>0</v>
      </c>
      <c r="AV35" s="112"/>
      <c r="AW35" s="121"/>
      <c r="AX35" s="122"/>
      <c r="AY35" s="113">
        <f t="shared" si="33"/>
        <v>0</v>
      </c>
      <c r="AZ35" s="81">
        <f t="shared" si="34"/>
        <v>0</v>
      </c>
      <c r="BA35" s="123"/>
      <c r="BB35" s="114">
        <f t="shared" si="37"/>
        <v>0</v>
      </c>
      <c r="BC35" s="115">
        <f t="shared" si="35"/>
        <v>6</v>
      </c>
      <c r="BD35" s="81">
        <f t="shared" si="36"/>
        <v>6</v>
      </c>
      <c r="BE35" s="122"/>
    </row>
    <row r="36" spans="1:57" s="31" customFormat="1" ht="17.5" customHeight="1" x14ac:dyDescent="0.35">
      <c r="A36" s="241"/>
      <c r="B36" s="243"/>
      <c r="C36" s="245"/>
      <c r="D36" s="245"/>
      <c r="E36" s="278" t="s">
        <v>52</v>
      </c>
      <c r="F36" s="278" t="s">
        <v>83</v>
      </c>
      <c r="G36" s="278">
        <v>8</v>
      </c>
      <c r="H36" s="278">
        <v>5</v>
      </c>
      <c r="I36" s="281">
        <f xml:space="preserve"> SUM(G36*H36)</f>
        <v>40</v>
      </c>
      <c r="J36" s="286"/>
      <c r="K36" s="287"/>
      <c r="L36" s="54">
        <v>7</v>
      </c>
      <c r="M36" s="288"/>
      <c r="N36" s="237"/>
      <c r="O36" s="55">
        <v>1</v>
      </c>
      <c r="P36" s="82" t="s">
        <v>84</v>
      </c>
      <c r="Q36" s="57">
        <v>0.54166666666666663</v>
      </c>
      <c r="R36" s="57">
        <v>0.875</v>
      </c>
      <c r="S36" s="57"/>
      <c r="T36" s="57"/>
      <c r="U36" s="210"/>
      <c r="V36" s="57" t="s">
        <v>65</v>
      </c>
      <c r="W36" s="59"/>
      <c r="X36" s="83"/>
      <c r="Y36" s="65"/>
      <c r="Z36" s="29">
        <f t="shared" si="23"/>
        <v>0</v>
      </c>
      <c r="AA36" s="64">
        <f t="shared" si="24"/>
        <v>0</v>
      </c>
      <c r="AB36" s="59"/>
      <c r="AC36" s="83"/>
      <c r="AD36" s="83"/>
      <c r="AE36" s="62">
        <f t="shared" si="25"/>
        <v>0</v>
      </c>
      <c r="AF36" s="64">
        <f t="shared" si="26"/>
        <v>0</v>
      </c>
      <c r="AG36" s="59"/>
      <c r="AH36" s="83"/>
      <c r="AI36" s="65"/>
      <c r="AJ36" s="29">
        <f t="shared" si="27"/>
        <v>0</v>
      </c>
      <c r="AK36" s="64">
        <f t="shared" si="28"/>
        <v>0</v>
      </c>
      <c r="AL36" s="59"/>
      <c r="AM36" s="83"/>
      <c r="AN36" s="65"/>
      <c r="AO36" s="29">
        <f t="shared" si="29"/>
        <v>0</v>
      </c>
      <c r="AP36" s="64">
        <f t="shared" si="30"/>
        <v>0</v>
      </c>
      <c r="AQ36" s="59"/>
      <c r="AR36" s="83"/>
      <c r="AS36" s="65"/>
      <c r="AT36" s="29">
        <f t="shared" si="31"/>
        <v>0</v>
      </c>
      <c r="AU36" s="64">
        <f t="shared" si="32"/>
        <v>0</v>
      </c>
      <c r="AV36" s="59"/>
      <c r="AW36" s="83"/>
      <c r="AX36" s="65"/>
      <c r="AY36" s="29">
        <f t="shared" si="33"/>
        <v>0</v>
      </c>
      <c r="AZ36" s="64">
        <f t="shared" si="34"/>
        <v>0</v>
      </c>
      <c r="BA36" s="62"/>
      <c r="BB36" s="63">
        <f t="shared" si="37"/>
        <v>0</v>
      </c>
      <c r="BC36" s="13">
        <f t="shared" si="35"/>
        <v>7</v>
      </c>
      <c r="BD36" s="64">
        <f t="shared" si="36"/>
        <v>7</v>
      </c>
      <c r="BE36" s="65"/>
    </row>
    <row r="37" spans="1:57" s="31" customFormat="1" ht="17.5" customHeight="1" x14ac:dyDescent="0.35">
      <c r="A37" s="241"/>
      <c r="B37" s="243"/>
      <c r="C37" s="245"/>
      <c r="D37" s="245"/>
      <c r="E37" s="279"/>
      <c r="F37" s="279"/>
      <c r="G37" s="279"/>
      <c r="H37" s="279"/>
      <c r="I37" s="282"/>
      <c r="J37" s="286"/>
      <c r="K37" s="287"/>
      <c r="L37" s="54">
        <v>7</v>
      </c>
      <c r="M37" s="288"/>
      <c r="N37" s="237"/>
      <c r="O37" s="66">
        <v>2</v>
      </c>
      <c r="P37" s="67" t="s">
        <v>85</v>
      </c>
      <c r="Q37" s="26">
        <v>0.54166666666666663</v>
      </c>
      <c r="R37" s="26">
        <v>0.875</v>
      </c>
      <c r="S37" s="26">
        <v>0.29166666666666669</v>
      </c>
      <c r="T37" s="26">
        <v>0.5</v>
      </c>
      <c r="U37" s="118"/>
      <c r="V37" s="26" t="s">
        <v>69</v>
      </c>
      <c r="W37" s="70"/>
      <c r="X37" s="28"/>
      <c r="Y37" s="73"/>
      <c r="Z37" s="29">
        <f t="shared" si="23"/>
        <v>0</v>
      </c>
      <c r="AA37" s="64">
        <f t="shared" si="24"/>
        <v>0</v>
      </c>
      <c r="AB37" s="70"/>
      <c r="AC37" s="28"/>
      <c r="AD37" s="28"/>
      <c r="AE37" s="62">
        <f t="shared" si="25"/>
        <v>0</v>
      </c>
      <c r="AF37" s="64">
        <f t="shared" si="26"/>
        <v>0</v>
      </c>
      <c r="AG37" s="70"/>
      <c r="AH37" s="28"/>
      <c r="AI37" s="73"/>
      <c r="AJ37" s="29">
        <f t="shared" si="27"/>
        <v>0</v>
      </c>
      <c r="AK37" s="64">
        <f t="shared" si="28"/>
        <v>0</v>
      </c>
      <c r="AL37" s="70"/>
      <c r="AM37" s="28"/>
      <c r="AN37" s="73"/>
      <c r="AO37" s="29">
        <f t="shared" si="29"/>
        <v>0</v>
      </c>
      <c r="AP37" s="64">
        <f t="shared" si="30"/>
        <v>0</v>
      </c>
      <c r="AQ37" s="70"/>
      <c r="AR37" s="28"/>
      <c r="AS37" s="73"/>
      <c r="AT37" s="29">
        <f t="shared" si="31"/>
        <v>0</v>
      </c>
      <c r="AU37" s="64">
        <f t="shared" si="32"/>
        <v>0</v>
      </c>
      <c r="AV37" s="70"/>
      <c r="AW37" s="28"/>
      <c r="AX37" s="73"/>
      <c r="AY37" s="29">
        <f t="shared" si="33"/>
        <v>0</v>
      </c>
      <c r="AZ37" s="64">
        <f t="shared" si="34"/>
        <v>0</v>
      </c>
      <c r="BA37" s="62"/>
      <c r="BB37" s="63">
        <f t="shared" si="37"/>
        <v>0</v>
      </c>
      <c r="BC37" s="13">
        <f t="shared" si="35"/>
        <v>7</v>
      </c>
      <c r="BD37" s="64">
        <f t="shared" si="36"/>
        <v>7</v>
      </c>
      <c r="BE37" s="73"/>
    </row>
    <row r="38" spans="1:57" s="31" customFormat="1" ht="17.5" customHeight="1" x14ac:dyDescent="0.35">
      <c r="A38" s="241"/>
      <c r="B38" s="243"/>
      <c r="C38" s="245"/>
      <c r="D38" s="245"/>
      <c r="E38" s="279"/>
      <c r="F38" s="279"/>
      <c r="G38" s="279"/>
      <c r="H38" s="279"/>
      <c r="I38" s="282"/>
      <c r="J38" s="286"/>
      <c r="K38" s="287"/>
      <c r="L38" s="54">
        <v>7</v>
      </c>
      <c r="M38" s="288"/>
      <c r="N38" s="237"/>
      <c r="O38" s="66">
        <v>3</v>
      </c>
      <c r="P38" s="124" t="s">
        <v>86</v>
      </c>
      <c r="Q38" s="26">
        <v>0.375</v>
      </c>
      <c r="R38" s="26">
        <v>0.875</v>
      </c>
      <c r="S38" s="26"/>
      <c r="T38" s="26"/>
      <c r="U38" s="118"/>
      <c r="V38" s="26" t="s">
        <v>87</v>
      </c>
      <c r="W38" s="70"/>
      <c r="X38" s="28"/>
      <c r="Y38" s="73"/>
      <c r="Z38" s="29">
        <f t="shared" si="23"/>
        <v>0</v>
      </c>
      <c r="AA38" s="64">
        <f t="shared" si="24"/>
        <v>0</v>
      </c>
      <c r="AB38" s="70"/>
      <c r="AC38" s="28"/>
      <c r="AD38" s="28"/>
      <c r="AE38" s="62">
        <f t="shared" si="25"/>
        <v>0</v>
      </c>
      <c r="AF38" s="64">
        <f t="shared" si="26"/>
        <v>0</v>
      </c>
      <c r="AG38" s="70"/>
      <c r="AH38" s="28"/>
      <c r="AI38" s="73"/>
      <c r="AJ38" s="29">
        <f t="shared" si="27"/>
        <v>0</v>
      </c>
      <c r="AK38" s="64">
        <f t="shared" si="28"/>
        <v>0</v>
      </c>
      <c r="AL38" s="70"/>
      <c r="AM38" s="28"/>
      <c r="AN38" s="73"/>
      <c r="AO38" s="29">
        <f t="shared" si="29"/>
        <v>0</v>
      </c>
      <c r="AP38" s="64">
        <f t="shared" si="30"/>
        <v>0</v>
      </c>
      <c r="AQ38" s="70"/>
      <c r="AR38" s="28"/>
      <c r="AS38" s="73"/>
      <c r="AT38" s="29">
        <f t="shared" si="31"/>
        <v>0</v>
      </c>
      <c r="AU38" s="64">
        <f t="shared" si="32"/>
        <v>0</v>
      </c>
      <c r="AV38" s="70"/>
      <c r="AW38" s="28"/>
      <c r="AX38" s="73"/>
      <c r="AY38" s="29">
        <f t="shared" si="33"/>
        <v>0</v>
      </c>
      <c r="AZ38" s="64">
        <f t="shared" si="34"/>
        <v>0</v>
      </c>
      <c r="BA38" s="62"/>
      <c r="BB38" s="63">
        <f t="shared" si="37"/>
        <v>0</v>
      </c>
      <c r="BC38" s="13">
        <f t="shared" si="35"/>
        <v>7</v>
      </c>
      <c r="BD38" s="64">
        <f t="shared" si="36"/>
        <v>7</v>
      </c>
      <c r="BE38" s="73"/>
    </row>
    <row r="39" spans="1:57" s="31" customFormat="1" ht="17.5" customHeight="1" x14ac:dyDescent="0.35">
      <c r="A39" s="241"/>
      <c r="B39" s="243"/>
      <c r="C39" s="245"/>
      <c r="D39" s="245"/>
      <c r="E39" s="279"/>
      <c r="F39" s="279"/>
      <c r="G39" s="279"/>
      <c r="H39" s="279"/>
      <c r="I39" s="282"/>
      <c r="J39" s="286"/>
      <c r="K39" s="287"/>
      <c r="L39" s="54">
        <v>7</v>
      </c>
      <c r="M39" s="288"/>
      <c r="N39" s="237"/>
      <c r="O39" s="66">
        <v>4</v>
      </c>
      <c r="P39" s="117" t="s">
        <v>88</v>
      </c>
      <c r="Q39" s="26">
        <v>0.375</v>
      </c>
      <c r="R39" s="26">
        <v>0.875</v>
      </c>
      <c r="S39" s="26"/>
      <c r="T39" s="26"/>
      <c r="U39" s="118"/>
      <c r="V39" s="26" t="s">
        <v>89</v>
      </c>
      <c r="W39" s="70"/>
      <c r="X39" s="28"/>
      <c r="Y39" s="73"/>
      <c r="Z39" s="29">
        <f t="shared" si="23"/>
        <v>0</v>
      </c>
      <c r="AA39" s="64">
        <f t="shared" si="24"/>
        <v>0</v>
      </c>
      <c r="AB39" s="70"/>
      <c r="AC39" s="28"/>
      <c r="AD39" s="28"/>
      <c r="AE39" s="62">
        <f t="shared" si="25"/>
        <v>0</v>
      </c>
      <c r="AF39" s="64">
        <f t="shared" si="26"/>
        <v>0</v>
      </c>
      <c r="AG39" s="70"/>
      <c r="AH39" s="28"/>
      <c r="AI39" s="73"/>
      <c r="AJ39" s="29">
        <f t="shared" si="27"/>
        <v>0</v>
      </c>
      <c r="AK39" s="64">
        <f t="shared" si="28"/>
        <v>0</v>
      </c>
      <c r="AL39" s="70"/>
      <c r="AM39" s="28"/>
      <c r="AN39" s="73"/>
      <c r="AO39" s="29">
        <f t="shared" si="29"/>
        <v>0</v>
      </c>
      <c r="AP39" s="64">
        <f t="shared" si="30"/>
        <v>0</v>
      </c>
      <c r="AQ39" s="70"/>
      <c r="AR39" s="28"/>
      <c r="AS39" s="73"/>
      <c r="AT39" s="29">
        <f t="shared" si="31"/>
        <v>0</v>
      </c>
      <c r="AU39" s="64">
        <f t="shared" si="32"/>
        <v>0</v>
      </c>
      <c r="AV39" s="70"/>
      <c r="AW39" s="28"/>
      <c r="AX39" s="73"/>
      <c r="AY39" s="29">
        <f t="shared" si="33"/>
        <v>0</v>
      </c>
      <c r="AZ39" s="64">
        <f t="shared" si="34"/>
        <v>0</v>
      </c>
      <c r="BA39" s="62"/>
      <c r="BB39" s="63">
        <f t="shared" si="37"/>
        <v>0</v>
      </c>
      <c r="BC39" s="13">
        <f t="shared" si="35"/>
        <v>7</v>
      </c>
      <c r="BD39" s="64">
        <f t="shared" si="36"/>
        <v>7</v>
      </c>
      <c r="BE39" s="73"/>
    </row>
    <row r="40" spans="1:57" s="31" customFormat="1" ht="17.5" customHeight="1" thickBot="1" x14ac:dyDescent="0.4">
      <c r="A40" s="241"/>
      <c r="B40" s="243"/>
      <c r="C40" s="245"/>
      <c r="D40" s="245"/>
      <c r="E40" s="280"/>
      <c r="F40" s="280"/>
      <c r="G40" s="280"/>
      <c r="H40" s="280"/>
      <c r="I40" s="283"/>
      <c r="J40" s="286"/>
      <c r="K40" s="287"/>
      <c r="L40" s="54">
        <v>7</v>
      </c>
      <c r="M40" s="288"/>
      <c r="N40" s="237"/>
      <c r="O40" s="75">
        <v>5</v>
      </c>
      <c r="P40" s="119" t="s">
        <v>90</v>
      </c>
      <c r="Q40" s="86">
        <v>0.375</v>
      </c>
      <c r="R40" s="86">
        <v>0.875</v>
      </c>
      <c r="S40" s="86"/>
      <c r="T40" s="86"/>
      <c r="U40" s="126"/>
      <c r="V40" s="86" t="s">
        <v>91</v>
      </c>
      <c r="W40" s="89"/>
      <c r="X40" s="28"/>
      <c r="Y40" s="73"/>
      <c r="Z40" s="77">
        <f t="shared" si="23"/>
        <v>0</v>
      </c>
      <c r="AA40" s="81">
        <f t="shared" si="24"/>
        <v>0</v>
      </c>
      <c r="AB40" s="89"/>
      <c r="AC40" s="28"/>
      <c r="AD40" s="28"/>
      <c r="AE40" s="78">
        <f t="shared" si="25"/>
        <v>0</v>
      </c>
      <c r="AF40" s="81">
        <f t="shared" si="26"/>
        <v>0</v>
      </c>
      <c r="AG40" s="89"/>
      <c r="AH40" s="28"/>
      <c r="AI40" s="73"/>
      <c r="AJ40" s="77">
        <f t="shared" si="27"/>
        <v>0</v>
      </c>
      <c r="AK40" s="81">
        <f t="shared" si="28"/>
        <v>0</v>
      </c>
      <c r="AL40" s="89"/>
      <c r="AM40" s="28"/>
      <c r="AN40" s="73"/>
      <c r="AO40" s="77">
        <f t="shared" si="29"/>
        <v>0</v>
      </c>
      <c r="AP40" s="81">
        <f t="shared" si="30"/>
        <v>0</v>
      </c>
      <c r="AQ40" s="89"/>
      <c r="AR40" s="28"/>
      <c r="AS40" s="73"/>
      <c r="AT40" s="77">
        <f t="shared" si="31"/>
        <v>0</v>
      </c>
      <c r="AU40" s="81">
        <f t="shared" si="32"/>
        <v>0</v>
      </c>
      <c r="AV40" s="89"/>
      <c r="AW40" s="28"/>
      <c r="AX40" s="73"/>
      <c r="AY40" s="77">
        <f t="shared" si="33"/>
        <v>0</v>
      </c>
      <c r="AZ40" s="81">
        <f t="shared" si="34"/>
        <v>0</v>
      </c>
      <c r="BA40" s="78"/>
      <c r="BB40" s="79">
        <f t="shared" si="37"/>
        <v>0</v>
      </c>
      <c r="BC40" s="80">
        <f t="shared" si="35"/>
        <v>7</v>
      </c>
      <c r="BD40" s="81">
        <f t="shared" si="36"/>
        <v>7</v>
      </c>
      <c r="BE40" s="73"/>
    </row>
    <row r="41" spans="1:57" s="31" customFormat="1" ht="17.5" customHeight="1" x14ac:dyDescent="0.35">
      <c r="A41" s="241"/>
      <c r="B41" s="243"/>
      <c r="C41" s="245"/>
      <c r="D41" s="245"/>
      <c r="E41" s="278" t="s">
        <v>92</v>
      </c>
      <c r="F41" s="278" t="s">
        <v>53</v>
      </c>
      <c r="G41" s="278">
        <v>4</v>
      </c>
      <c r="H41" s="278">
        <v>2</v>
      </c>
      <c r="I41" s="281">
        <f xml:space="preserve"> SUM(G41*H41)</f>
        <v>8</v>
      </c>
      <c r="J41" s="286"/>
      <c r="K41" s="287"/>
      <c r="L41" s="54">
        <v>4</v>
      </c>
      <c r="M41" s="288"/>
      <c r="N41" s="237"/>
      <c r="O41" s="55">
        <v>1</v>
      </c>
      <c r="P41" s="125" t="s">
        <v>66</v>
      </c>
      <c r="Q41" s="26">
        <v>0.29166666666666669</v>
      </c>
      <c r="R41" s="26">
        <v>0.79166666666666663</v>
      </c>
      <c r="S41" s="57"/>
      <c r="T41" s="57"/>
      <c r="U41" s="210"/>
      <c r="V41" s="57"/>
      <c r="W41" s="59"/>
      <c r="X41" s="83"/>
      <c r="Y41" s="65"/>
      <c r="Z41" s="29">
        <f t="shared" si="23"/>
        <v>0</v>
      </c>
      <c r="AA41" s="64">
        <f t="shared" si="24"/>
        <v>0</v>
      </c>
      <c r="AB41" s="59"/>
      <c r="AC41" s="83"/>
      <c r="AD41" s="83"/>
      <c r="AE41" s="62">
        <f t="shared" si="25"/>
        <v>0</v>
      </c>
      <c r="AF41" s="64">
        <f t="shared" si="26"/>
        <v>0</v>
      </c>
      <c r="AG41" s="59"/>
      <c r="AH41" s="83"/>
      <c r="AI41" s="65"/>
      <c r="AJ41" s="29">
        <f t="shared" si="27"/>
        <v>0</v>
      </c>
      <c r="AK41" s="64">
        <f t="shared" si="28"/>
        <v>0</v>
      </c>
      <c r="AL41" s="59"/>
      <c r="AM41" s="83"/>
      <c r="AN41" s="65"/>
      <c r="AO41" s="29">
        <f t="shared" si="29"/>
        <v>0</v>
      </c>
      <c r="AP41" s="64">
        <f t="shared" si="30"/>
        <v>0</v>
      </c>
      <c r="AQ41" s="59"/>
      <c r="AR41" s="83"/>
      <c r="AS41" s="65"/>
      <c r="AT41" s="29">
        <f t="shared" si="31"/>
        <v>0</v>
      </c>
      <c r="AU41" s="64">
        <f t="shared" si="32"/>
        <v>0</v>
      </c>
      <c r="AV41" s="59"/>
      <c r="AW41" s="83"/>
      <c r="AX41" s="65"/>
      <c r="AY41" s="29">
        <f t="shared" si="33"/>
        <v>0</v>
      </c>
      <c r="AZ41" s="64">
        <f t="shared" si="34"/>
        <v>0</v>
      </c>
      <c r="BA41" s="62"/>
      <c r="BB41" s="63">
        <f t="shared" si="37"/>
        <v>0</v>
      </c>
      <c r="BC41" s="13">
        <f t="shared" si="35"/>
        <v>4</v>
      </c>
      <c r="BD41" s="64">
        <f t="shared" si="36"/>
        <v>4</v>
      </c>
      <c r="BE41" s="65"/>
    </row>
    <row r="42" spans="1:57" s="31" customFormat="1" ht="17.5" customHeight="1" thickBot="1" x14ac:dyDescent="0.4">
      <c r="A42" s="241"/>
      <c r="B42" s="243"/>
      <c r="C42" s="245"/>
      <c r="D42" s="245"/>
      <c r="E42" s="280"/>
      <c r="F42" s="280"/>
      <c r="G42" s="280"/>
      <c r="H42" s="280"/>
      <c r="I42" s="283"/>
      <c r="J42" s="286"/>
      <c r="K42" s="287"/>
      <c r="L42" s="54">
        <v>4</v>
      </c>
      <c r="M42" s="288"/>
      <c r="N42" s="237"/>
      <c r="O42" s="75">
        <v>2</v>
      </c>
      <c r="P42" s="119" t="s">
        <v>93</v>
      </c>
      <c r="Q42" s="86">
        <v>0.29166666666666669</v>
      </c>
      <c r="R42" s="86">
        <v>0.79166666666666663</v>
      </c>
      <c r="S42" s="86"/>
      <c r="T42" s="86"/>
      <c r="U42" s="126"/>
      <c r="V42" s="86" t="s">
        <v>89</v>
      </c>
      <c r="W42" s="89"/>
      <c r="X42" s="90"/>
      <c r="Y42" s="91"/>
      <c r="Z42" s="77">
        <f t="shared" si="23"/>
        <v>0</v>
      </c>
      <c r="AA42" s="81">
        <f t="shared" si="24"/>
        <v>0</v>
      </c>
      <c r="AB42" s="89"/>
      <c r="AC42" s="90"/>
      <c r="AD42" s="90"/>
      <c r="AE42" s="78">
        <f t="shared" si="25"/>
        <v>0</v>
      </c>
      <c r="AF42" s="81">
        <f t="shared" si="26"/>
        <v>0</v>
      </c>
      <c r="AG42" s="89"/>
      <c r="AH42" s="90"/>
      <c r="AI42" s="91"/>
      <c r="AJ42" s="77">
        <f t="shared" si="27"/>
        <v>0</v>
      </c>
      <c r="AK42" s="81">
        <f t="shared" si="28"/>
        <v>0</v>
      </c>
      <c r="AL42" s="89"/>
      <c r="AM42" s="90"/>
      <c r="AN42" s="91"/>
      <c r="AO42" s="77">
        <f t="shared" si="29"/>
        <v>0</v>
      </c>
      <c r="AP42" s="81">
        <f t="shared" si="30"/>
        <v>0</v>
      </c>
      <c r="AQ42" s="89"/>
      <c r="AR42" s="90"/>
      <c r="AS42" s="91"/>
      <c r="AT42" s="77">
        <f t="shared" si="31"/>
        <v>0</v>
      </c>
      <c r="AU42" s="81">
        <f t="shared" si="32"/>
        <v>0</v>
      </c>
      <c r="AV42" s="89"/>
      <c r="AW42" s="90"/>
      <c r="AX42" s="91"/>
      <c r="AY42" s="77">
        <f t="shared" si="33"/>
        <v>0</v>
      </c>
      <c r="AZ42" s="81">
        <f t="shared" si="34"/>
        <v>0</v>
      </c>
      <c r="BA42" s="78"/>
      <c r="BB42" s="79">
        <f t="shared" si="37"/>
        <v>0</v>
      </c>
      <c r="BC42" s="80">
        <f t="shared" si="35"/>
        <v>4</v>
      </c>
      <c r="BD42" s="81">
        <f t="shared" si="36"/>
        <v>4</v>
      </c>
      <c r="BE42" s="91"/>
    </row>
    <row r="43" spans="1:57" s="31" customFormat="1" ht="17.5" customHeight="1" x14ac:dyDescent="0.35">
      <c r="A43" s="241"/>
      <c r="B43" s="243"/>
      <c r="C43" s="245"/>
      <c r="D43" s="245"/>
      <c r="E43" s="278" t="s">
        <v>75</v>
      </c>
      <c r="F43" s="278" t="s">
        <v>83</v>
      </c>
      <c r="G43" s="278">
        <v>3</v>
      </c>
      <c r="H43" s="278">
        <v>2</v>
      </c>
      <c r="I43" s="281">
        <f xml:space="preserve"> SUM(G43*H43)</f>
        <v>6</v>
      </c>
      <c r="J43" s="286"/>
      <c r="K43" s="287"/>
      <c r="L43" s="54">
        <v>3</v>
      </c>
      <c r="M43" s="288"/>
      <c r="N43" s="237"/>
      <c r="O43" s="55">
        <v>1</v>
      </c>
      <c r="P43" s="116" t="s">
        <v>94</v>
      </c>
      <c r="Q43" s="26">
        <v>0.375</v>
      </c>
      <c r="R43" s="26">
        <v>0.875</v>
      </c>
      <c r="S43" s="26"/>
      <c r="T43" s="57"/>
      <c r="U43" s="210"/>
      <c r="V43" s="57" t="s">
        <v>87</v>
      </c>
      <c r="W43" s="59"/>
      <c r="X43" s="83"/>
      <c r="Y43" s="65"/>
      <c r="Z43" s="29">
        <f t="shared" si="23"/>
        <v>0</v>
      </c>
      <c r="AA43" s="64">
        <f t="shared" si="24"/>
        <v>0</v>
      </c>
      <c r="AB43" s="59"/>
      <c r="AC43" s="83"/>
      <c r="AD43" s="83"/>
      <c r="AE43" s="62">
        <f t="shared" si="25"/>
        <v>0</v>
      </c>
      <c r="AF43" s="64">
        <f t="shared" si="26"/>
        <v>0</v>
      </c>
      <c r="AG43" s="59"/>
      <c r="AH43" s="83"/>
      <c r="AI43" s="65"/>
      <c r="AJ43" s="29">
        <f t="shared" si="27"/>
        <v>0</v>
      </c>
      <c r="AK43" s="64">
        <f t="shared" si="28"/>
        <v>0</v>
      </c>
      <c r="AL43" s="59"/>
      <c r="AM43" s="83"/>
      <c r="AN43" s="65"/>
      <c r="AO43" s="29">
        <f t="shared" si="29"/>
        <v>0</v>
      </c>
      <c r="AP43" s="64">
        <f t="shared" si="30"/>
        <v>0</v>
      </c>
      <c r="AQ43" s="59"/>
      <c r="AR43" s="83"/>
      <c r="AS43" s="65"/>
      <c r="AT43" s="29">
        <f t="shared" si="31"/>
        <v>0</v>
      </c>
      <c r="AU43" s="64">
        <f t="shared" si="32"/>
        <v>0</v>
      </c>
      <c r="AV43" s="59"/>
      <c r="AW43" s="83"/>
      <c r="AX43" s="65"/>
      <c r="AY43" s="29">
        <f t="shared" si="33"/>
        <v>0</v>
      </c>
      <c r="AZ43" s="64">
        <f t="shared" si="34"/>
        <v>0</v>
      </c>
      <c r="BA43" s="62"/>
      <c r="BB43" s="63">
        <f t="shared" si="37"/>
        <v>0</v>
      </c>
      <c r="BC43" s="13">
        <f t="shared" si="35"/>
        <v>3</v>
      </c>
      <c r="BD43" s="64">
        <f t="shared" si="36"/>
        <v>3</v>
      </c>
      <c r="BE43" s="65"/>
    </row>
    <row r="44" spans="1:57" s="31" customFormat="1" ht="17.5" customHeight="1" thickBot="1" x14ac:dyDescent="0.4">
      <c r="A44" s="241"/>
      <c r="B44" s="243"/>
      <c r="C44" s="245"/>
      <c r="D44" s="245"/>
      <c r="E44" s="280"/>
      <c r="F44" s="280"/>
      <c r="G44" s="280"/>
      <c r="H44" s="280"/>
      <c r="I44" s="283"/>
      <c r="J44" s="286"/>
      <c r="K44" s="287"/>
      <c r="L44" s="54">
        <v>3</v>
      </c>
      <c r="M44" s="288"/>
      <c r="N44" s="237"/>
      <c r="O44" s="75">
        <v>2</v>
      </c>
      <c r="P44" s="119" t="s">
        <v>95</v>
      </c>
      <c r="Q44" s="86">
        <v>0.375</v>
      </c>
      <c r="R44" s="86">
        <v>0.875</v>
      </c>
      <c r="S44" s="86"/>
      <c r="T44" s="86"/>
      <c r="U44" s="126"/>
      <c r="V44" s="86" t="s">
        <v>89</v>
      </c>
      <c r="W44" s="89"/>
      <c r="X44" s="90"/>
      <c r="Y44" s="91"/>
      <c r="Z44" s="77">
        <f t="shared" si="23"/>
        <v>0</v>
      </c>
      <c r="AA44" s="81">
        <f t="shared" si="24"/>
        <v>0</v>
      </c>
      <c r="AB44" s="89"/>
      <c r="AC44" s="90"/>
      <c r="AD44" s="90"/>
      <c r="AE44" s="78">
        <f t="shared" si="25"/>
        <v>0</v>
      </c>
      <c r="AF44" s="81">
        <f t="shared" si="26"/>
        <v>0</v>
      </c>
      <c r="AG44" s="89"/>
      <c r="AH44" s="90"/>
      <c r="AI44" s="91"/>
      <c r="AJ44" s="77">
        <f t="shared" si="27"/>
        <v>0</v>
      </c>
      <c r="AK44" s="81">
        <f t="shared" si="28"/>
        <v>0</v>
      </c>
      <c r="AL44" s="89"/>
      <c r="AM44" s="90"/>
      <c r="AN44" s="91"/>
      <c r="AO44" s="77">
        <f t="shared" si="29"/>
        <v>0</v>
      </c>
      <c r="AP44" s="81">
        <f t="shared" si="30"/>
        <v>0</v>
      </c>
      <c r="AQ44" s="89"/>
      <c r="AR44" s="90"/>
      <c r="AS44" s="91"/>
      <c r="AT44" s="77">
        <f t="shared" si="31"/>
        <v>0</v>
      </c>
      <c r="AU44" s="81">
        <f t="shared" si="32"/>
        <v>0</v>
      </c>
      <c r="AV44" s="89"/>
      <c r="AW44" s="90"/>
      <c r="AX44" s="91"/>
      <c r="AY44" s="77">
        <f t="shared" si="33"/>
        <v>0</v>
      </c>
      <c r="AZ44" s="81">
        <f t="shared" si="34"/>
        <v>0</v>
      </c>
      <c r="BA44" s="78"/>
      <c r="BB44" s="79">
        <f t="shared" si="37"/>
        <v>0</v>
      </c>
      <c r="BC44" s="80">
        <f t="shared" si="35"/>
        <v>3</v>
      </c>
      <c r="BD44" s="81">
        <f t="shared" si="36"/>
        <v>3</v>
      </c>
      <c r="BE44" s="91"/>
    </row>
    <row r="45" spans="1:57" s="31" customFormat="1" ht="17.5" customHeight="1" x14ac:dyDescent="0.35">
      <c r="A45" s="241"/>
      <c r="B45" s="243"/>
      <c r="C45" s="245"/>
      <c r="D45" s="245"/>
      <c r="E45" s="289" t="s">
        <v>83</v>
      </c>
      <c r="F45" s="292" t="s">
        <v>96</v>
      </c>
      <c r="G45" s="278">
        <v>10.5</v>
      </c>
      <c r="H45" s="278">
        <v>5</v>
      </c>
      <c r="I45" s="281">
        <f xml:space="preserve"> SUM(G45*H45)</f>
        <v>52.5</v>
      </c>
      <c r="J45" s="286"/>
      <c r="K45" s="287"/>
      <c r="L45" s="54">
        <v>9.5</v>
      </c>
      <c r="M45" s="288"/>
      <c r="N45" s="237"/>
      <c r="O45" s="55">
        <v>1</v>
      </c>
      <c r="P45" s="56" t="s">
        <v>97</v>
      </c>
      <c r="Q45" s="26">
        <v>0.875</v>
      </c>
      <c r="R45" s="26">
        <v>0.3125</v>
      </c>
      <c r="S45" s="26"/>
      <c r="T45" s="26"/>
      <c r="U45" s="210"/>
      <c r="V45" s="26" t="s">
        <v>98</v>
      </c>
      <c r="W45" s="70"/>
      <c r="X45" s="28"/>
      <c r="Y45" s="73"/>
      <c r="Z45" s="29">
        <f>MOD(Y45-X45,1)*24</f>
        <v>0</v>
      </c>
      <c r="AA45" s="64">
        <f t="shared" si="24"/>
        <v>0</v>
      </c>
      <c r="AB45" s="70"/>
      <c r="AC45" s="28"/>
      <c r="AD45" s="28"/>
      <c r="AE45" s="62">
        <f>MOD(AD45-AC45,1)*24</f>
        <v>0</v>
      </c>
      <c r="AF45" s="64">
        <f t="shared" si="26"/>
        <v>0</v>
      </c>
      <c r="AG45" s="70"/>
      <c r="AH45" s="28"/>
      <c r="AI45" s="73"/>
      <c r="AJ45" s="29">
        <f>MOD(AI45-AH45,1)*24</f>
        <v>0</v>
      </c>
      <c r="AK45" s="64">
        <f t="shared" si="28"/>
        <v>0</v>
      </c>
      <c r="AL45" s="70"/>
      <c r="AM45" s="28"/>
      <c r="AN45" s="73"/>
      <c r="AO45" s="29">
        <f>MOD(AN45-AM45,1)*24</f>
        <v>0</v>
      </c>
      <c r="AP45" s="64">
        <f t="shared" si="30"/>
        <v>0</v>
      </c>
      <c r="AQ45" s="70"/>
      <c r="AR45" s="28"/>
      <c r="AS45" s="73"/>
      <c r="AT45" s="29">
        <f>MOD(AS45-AR45,1)*24</f>
        <v>0</v>
      </c>
      <c r="AU45" s="64">
        <f t="shared" si="32"/>
        <v>0</v>
      </c>
      <c r="AV45" s="70"/>
      <c r="AW45" s="28"/>
      <c r="AX45" s="73"/>
      <c r="AY45" s="29">
        <f>MOD(AX45-AW45,1)*24</f>
        <v>0</v>
      </c>
      <c r="AZ45" s="64">
        <f t="shared" si="34"/>
        <v>0</v>
      </c>
      <c r="BA45" s="62"/>
      <c r="BB45" s="63">
        <f t="shared" si="37"/>
        <v>0</v>
      </c>
      <c r="BC45" s="13">
        <f t="shared" si="35"/>
        <v>9.5</v>
      </c>
      <c r="BD45" s="64">
        <f t="shared" si="36"/>
        <v>9.5</v>
      </c>
      <c r="BE45" s="73"/>
    </row>
    <row r="46" spans="1:57" s="31" customFormat="1" ht="17.5" customHeight="1" x14ac:dyDescent="0.35">
      <c r="A46" s="241"/>
      <c r="B46" s="243"/>
      <c r="C46" s="245"/>
      <c r="D46" s="245"/>
      <c r="E46" s="290"/>
      <c r="F46" s="293"/>
      <c r="G46" s="279"/>
      <c r="H46" s="279"/>
      <c r="I46" s="282"/>
      <c r="J46" s="286"/>
      <c r="K46" s="287"/>
      <c r="L46" s="54">
        <v>9.5</v>
      </c>
      <c r="M46" s="288"/>
      <c r="N46" s="237"/>
      <c r="O46" s="66">
        <v>2</v>
      </c>
      <c r="P46" s="67" t="s">
        <v>99</v>
      </c>
      <c r="Q46" s="26">
        <v>0.875</v>
      </c>
      <c r="R46" s="26">
        <v>0.3125</v>
      </c>
      <c r="S46" s="26"/>
      <c r="T46" s="26"/>
      <c r="U46" s="118"/>
      <c r="V46" s="26" t="s">
        <v>100</v>
      </c>
      <c r="W46" s="70"/>
      <c r="X46" s="28"/>
      <c r="Y46" s="73"/>
      <c r="Z46" s="29">
        <f t="shared" ref="Z46:Z49" si="38">MOD(Y46-X46,1)*24</f>
        <v>0</v>
      </c>
      <c r="AA46" s="64">
        <f t="shared" si="24"/>
        <v>0</v>
      </c>
      <c r="AB46" s="70"/>
      <c r="AC46" s="28"/>
      <c r="AD46" s="28"/>
      <c r="AE46" s="62">
        <f t="shared" ref="AE46:AE49" si="39">MOD(AD46-AC46,1)*24</f>
        <v>0</v>
      </c>
      <c r="AF46" s="64">
        <f t="shared" si="26"/>
        <v>0</v>
      </c>
      <c r="AG46" s="70"/>
      <c r="AH46" s="28"/>
      <c r="AI46" s="73"/>
      <c r="AJ46" s="29">
        <f t="shared" ref="AJ46:AJ49" si="40">MOD(AI46-AH46,1)*24</f>
        <v>0</v>
      </c>
      <c r="AK46" s="64">
        <f t="shared" si="28"/>
        <v>0</v>
      </c>
      <c r="AL46" s="70"/>
      <c r="AM46" s="28"/>
      <c r="AN46" s="73"/>
      <c r="AO46" s="29">
        <f t="shared" ref="AO46:AO49" si="41">MOD(AN46-AM46,1)*24</f>
        <v>0</v>
      </c>
      <c r="AP46" s="64">
        <f t="shared" si="30"/>
        <v>0</v>
      </c>
      <c r="AQ46" s="70"/>
      <c r="AR46" s="28"/>
      <c r="AS46" s="73"/>
      <c r="AT46" s="29">
        <f t="shared" ref="AT46:AT49" si="42">MOD(AS46-AR46,1)*24</f>
        <v>0</v>
      </c>
      <c r="AU46" s="64">
        <f t="shared" si="32"/>
        <v>0</v>
      </c>
      <c r="AV46" s="70"/>
      <c r="AW46" s="28"/>
      <c r="AX46" s="73"/>
      <c r="AY46" s="29">
        <f t="shared" ref="AY46:AY49" si="43">MOD(AX46-AW46,1)*24</f>
        <v>0</v>
      </c>
      <c r="AZ46" s="64">
        <f t="shared" si="34"/>
        <v>0</v>
      </c>
      <c r="BA46" s="62"/>
      <c r="BB46" s="63">
        <f t="shared" si="37"/>
        <v>0</v>
      </c>
      <c r="BC46" s="13">
        <f t="shared" si="35"/>
        <v>9.5</v>
      </c>
      <c r="BD46" s="64">
        <f t="shared" si="36"/>
        <v>9.5</v>
      </c>
      <c r="BE46" s="73"/>
    </row>
    <row r="47" spans="1:57" s="31" customFormat="1" ht="17.5" customHeight="1" x14ac:dyDescent="0.35">
      <c r="A47" s="241"/>
      <c r="B47" s="243"/>
      <c r="C47" s="245"/>
      <c r="D47" s="245"/>
      <c r="E47" s="290"/>
      <c r="F47" s="293"/>
      <c r="G47" s="279"/>
      <c r="H47" s="279"/>
      <c r="I47" s="282"/>
      <c r="J47" s="286"/>
      <c r="K47" s="287"/>
      <c r="L47" s="54">
        <v>9.5</v>
      </c>
      <c r="M47" s="288"/>
      <c r="N47" s="237"/>
      <c r="O47" s="66">
        <v>3</v>
      </c>
      <c r="P47" s="67" t="s">
        <v>101</v>
      </c>
      <c r="Q47" s="26">
        <v>0.875</v>
      </c>
      <c r="R47" s="26">
        <v>0.3125</v>
      </c>
      <c r="S47" s="26"/>
      <c r="T47" s="26"/>
      <c r="U47" s="118"/>
      <c r="V47" s="26" t="s">
        <v>100</v>
      </c>
      <c r="W47" s="70"/>
      <c r="X47" s="28"/>
      <c r="Y47" s="73"/>
      <c r="Z47" s="29">
        <f t="shared" si="38"/>
        <v>0</v>
      </c>
      <c r="AA47" s="64">
        <f t="shared" si="24"/>
        <v>0</v>
      </c>
      <c r="AB47" s="70"/>
      <c r="AC47" s="28"/>
      <c r="AD47" s="28"/>
      <c r="AE47" s="62">
        <f t="shared" si="39"/>
        <v>0</v>
      </c>
      <c r="AF47" s="64">
        <f t="shared" si="26"/>
        <v>0</v>
      </c>
      <c r="AG47" s="70"/>
      <c r="AH47" s="28"/>
      <c r="AI47" s="73"/>
      <c r="AJ47" s="29">
        <f t="shared" si="40"/>
        <v>0</v>
      </c>
      <c r="AK47" s="64">
        <f t="shared" si="28"/>
        <v>0</v>
      </c>
      <c r="AL47" s="70"/>
      <c r="AM47" s="28"/>
      <c r="AN47" s="73"/>
      <c r="AO47" s="29">
        <f t="shared" si="41"/>
        <v>0</v>
      </c>
      <c r="AP47" s="64">
        <f t="shared" si="30"/>
        <v>0</v>
      </c>
      <c r="AQ47" s="70"/>
      <c r="AR47" s="28"/>
      <c r="AS47" s="73"/>
      <c r="AT47" s="29">
        <f t="shared" si="42"/>
        <v>0</v>
      </c>
      <c r="AU47" s="64">
        <f t="shared" si="32"/>
        <v>0</v>
      </c>
      <c r="AV47" s="70"/>
      <c r="AW47" s="28"/>
      <c r="AX47" s="73"/>
      <c r="AY47" s="29">
        <f t="shared" si="43"/>
        <v>0</v>
      </c>
      <c r="AZ47" s="64">
        <f t="shared" si="34"/>
        <v>0</v>
      </c>
      <c r="BA47" s="62"/>
      <c r="BB47" s="63">
        <f t="shared" si="37"/>
        <v>0</v>
      </c>
      <c r="BC47" s="13">
        <f t="shared" si="35"/>
        <v>9.5</v>
      </c>
      <c r="BD47" s="64">
        <f t="shared" si="36"/>
        <v>9.5</v>
      </c>
      <c r="BE47" s="73"/>
    </row>
    <row r="48" spans="1:57" s="31" customFormat="1" ht="17.5" customHeight="1" x14ac:dyDescent="0.35">
      <c r="A48" s="241"/>
      <c r="B48" s="243"/>
      <c r="C48" s="245"/>
      <c r="D48" s="245"/>
      <c r="E48" s="290"/>
      <c r="F48" s="293"/>
      <c r="G48" s="279"/>
      <c r="H48" s="279"/>
      <c r="I48" s="282"/>
      <c r="J48" s="286"/>
      <c r="K48" s="287"/>
      <c r="L48" s="54">
        <v>9.5</v>
      </c>
      <c r="M48" s="288"/>
      <c r="N48" s="237"/>
      <c r="O48" s="66">
        <v>4</v>
      </c>
      <c r="P48" s="67" t="s">
        <v>102</v>
      </c>
      <c r="Q48" s="26">
        <v>0.875</v>
      </c>
      <c r="R48" s="26">
        <v>0.3125</v>
      </c>
      <c r="S48" s="26"/>
      <c r="T48" s="26"/>
      <c r="U48" s="118"/>
      <c r="V48" s="26" t="s">
        <v>103</v>
      </c>
      <c r="W48" s="70"/>
      <c r="X48" s="28"/>
      <c r="Y48" s="73"/>
      <c r="Z48" s="29">
        <f t="shared" si="38"/>
        <v>0</v>
      </c>
      <c r="AA48" s="64">
        <f t="shared" si="24"/>
        <v>0</v>
      </c>
      <c r="AB48" s="70"/>
      <c r="AC48" s="28"/>
      <c r="AD48" s="28"/>
      <c r="AE48" s="62">
        <f t="shared" si="39"/>
        <v>0</v>
      </c>
      <c r="AF48" s="64">
        <f t="shared" si="26"/>
        <v>0</v>
      </c>
      <c r="AG48" s="70"/>
      <c r="AH48" s="28"/>
      <c r="AI48" s="73"/>
      <c r="AJ48" s="29">
        <f t="shared" si="40"/>
        <v>0</v>
      </c>
      <c r="AK48" s="64">
        <f t="shared" si="28"/>
        <v>0</v>
      </c>
      <c r="AL48" s="70"/>
      <c r="AM48" s="28"/>
      <c r="AN48" s="73"/>
      <c r="AO48" s="29">
        <f t="shared" si="41"/>
        <v>0</v>
      </c>
      <c r="AP48" s="64">
        <f t="shared" si="30"/>
        <v>0</v>
      </c>
      <c r="AQ48" s="70"/>
      <c r="AR48" s="28"/>
      <c r="AS48" s="73"/>
      <c r="AT48" s="29">
        <f t="shared" si="42"/>
        <v>0</v>
      </c>
      <c r="AU48" s="64">
        <f t="shared" si="32"/>
        <v>0</v>
      </c>
      <c r="AV48" s="70"/>
      <c r="AW48" s="28"/>
      <c r="AX48" s="73"/>
      <c r="AY48" s="29">
        <f t="shared" si="43"/>
        <v>0</v>
      </c>
      <c r="AZ48" s="64">
        <f t="shared" si="34"/>
        <v>0</v>
      </c>
      <c r="BA48" s="62"/>
      <c r="BB48" s="63">
        <f t="shared" si="37"/>
        <v>0</v>
      </c>
      <c r="BC48" s="13">
        <f t="shared" si="35"/>
        <v>9.5</v>
      </c>
      <c r="BD48" s="64">
        <f t="shared" si="36"/>
        <v>9.5</v>
      </c>
      <c r="BE48" s="73"/>
    </row>
    <row r="49" spans="1:57" s="31" customFormat="1" ht="17.5" customHeight="1" thickBot="1" x14ac:dyDescent="0.4">
      <c r="A49" s="241"/>
      <c r="B49" s="243"/>
      <c r="C49" s="245"/>
      <c r="D49" s="245"/>
      <c r="E49" s="291"/>
      <c r="F49" s="294"/>
      <c r="G49" s="280"/>
      <c r="H49" s="280"/>
      <c r="I49" s="283"/>
      <c r="J49" s="286"/>
      <c r="K49" s="287"/>
      <c r="L49" s="54">
        <v>9.5</v>
      </c>
      <c r="M49" s="288"/>
      <c r="N49" s="237"/>
      <c r="O49" s="75">
        <v>5</v>
      </c>
      <c r="P49" s="119" t="s">
        <v>104</v>
      </c>
      <c r="Q49" s="86">
        <v>0.79166666666666663</v>
      </c>
      <c r="R49" s="86">
        <v>0.29166666666666669</v>
      </c>
      <c r="S49" s="86"/>
      <c r="T49" s="86"/>
      <c r="U49" s="126"/>
      <c r="V49" s="86" t="s">
        <v>105</v>
      </c>
      <c r="W49" s="89"/>
      <c r="X49" s="90"/>
      <c r="Y49" s="91"/>
      <c r="Z49" s="77">
        <f t="shared" si="38"/>
        <v>0</v>
      </c>
      <c r="AA49" s="81">
        <f t="shared" si="24"/>
        <v>0</v>
      </c>
      <c r="AB49" s="89"/>
      <c r="AC49" s="90"/>
      <c r="AD49" s="90"/>
      <c r="AE49" s="62">
        <f t="shared" si="39"/>
        <v>0</v>
      </c>
      <c r="AF49" s="81">
        <f t="shared" si="26"/>
        <v>0</v>
      </c>
      <c r="AG49" s="89"/>
      <c r="AH49" s="90"/>
      <c r="AI49" s="91"/>
      <c r="AJ49" s="29">
        <f t="shared" si="40"/>
        <v>0</v>
      </c>
      <c r="AK49" s="81">
        <f t="shared" si="28"/>
        <v>0</v>
      </c>
      <c r="AL49" s="89"/>
      <c r="AM49" s="90"/>
      <c r="AN49" s="91"/>
      <c r="AO49" s="29">
        <f t="shared" si="41"/>
        <v>0</v>
      </c>
      <c r="AP49" s="81">
        <f t="shared" si="30"/>
        <v>0</v>
      </c>
      <c r="AQ49" s="89"/>
      <c r="AR49" s="90"/>
      <c r="AS49" s="91"/>
      <c r="AT49" s="29">
        <f t="shared" si="42"/>
        <v>0</v>
      </c>
      <c r="AU49" s="81">
        <f t="shared" si="32"/>
        <v>0</v>
      </c>
      <c r="AV49" s="89"/>
      <c r="AW49" s="90"/>
      <c r="AX49" s="91"/>
      <c r="AY49" s="29">
        <f t="shared" si="43"/>
        <v>0</v>
      </c>
      <c r="AZ49" s="81">
        <f t="shared" si="34"/>
        <v>0</v>
      </c>
      <c r="BA49" s="78"/>
      <c r="BB49" s="79">
        <f t="shared" si="37"/>
        <v>0</v>
      </c>
      <c r="BC49" s="80">
        <f t="shared" si="35"/>
        <v>9.5</v>
      </c>
      <c r="BD49" s="81">
        <f t="shared" si="36"/>
        <v>9.5</v>
      </c>
      <c r="BE49" s="73"/>
    </row>
    <row r="50" spans="1:57" s="31" customFormat="1" ht="17.5" customHeight="1" x14ac:dyDescent="0.35">
      <c r="A50" s="241"/>
      <c r="B50" s="244"/>
      <c r="C50" s="245"/>
      <c r="D50" s="245"/>
      <c r="E50" s="258" t="s">
        <v>106</v>
      </c>
      <c r="F50" s="259"/>
      <c r="G50" s="92"/>
      <c r="H50" s="128">
        <f>SUM(H27:H45)</f>
        <v>23</v>
      </c>
      <c r="I50" s="94">
        <f>SUM(I27:I45)</f>
        <v>177.5</v>
      </c>
      <c r="J50" s="286"/>
      <c r="K50" s="245"/>
      <c r="L50" s="95">
        <f>SUM(L27:L49)</f>
        <v>158.5</v>
      </c>
      <c r="M50" s="288"/>
      <c r="N50" s="237"/>
      <c r="O50" s="99"/>
      <c r="P50" s="198"/>
      <c r="Q50" s="68"/>
      <c r="R50" s="68"/>
      <c r="S50" s="68"/>
      <c r="T50" s="68"/>
      <c r="U50" s="211"/>
      <c r="V50" s="199"/>
      <c r="W50" s="200"/>
      <c r="X50" s="201"/>
      <c r="Y50" s="202"/>
      <c r="Z50" s="203"/>
      <c r="AA50" s="203"/>
      <c r="AB50" s="200"/>
      <c r="AC50" s="201"/>
      <c r="AD50" s="201"/>
      <c r="AE50" s="204"/>
      <c r="AF50" s="203"/>
      <c r="AG50" s="200"/>
      <c r="AH50" s="201"/>
      <c r="AI50" s="202"/>
      <c r="AJ50" s="203"/>
      <c r="AK50" s="203"/>
      <c r="AL50" s="200"/>
      <c r="AM50" s="201"/>
      <c r="AN50" s="202"/>
      <c r="AO50" s="203"/>
      <c r="AP50" s="203"/>
      <c r="AQ50" s="200"/>
      <c r="AR50" s="201"/>
      <c r="AS50" s="202"/>
      <c r="AT50" s="203"/>
      <c r="AU50" s="203"/>
      <c r="AV50" s="200"/>
      <c r="AW50" s="201"/>
      <c r="AX50" s="202"/>
      <c r="AY50" s="203"/>
      <c r="AZ50" s="203"/>
      <c r="BA50" s="204"/>
      <c r="BB50" s="205"/>
      <c r="BC50" s="203"/>
      <c r="BD50" s="228">
        <f>SUM(BD27:BD49)</f>
        <v>158.5</v>
      </c>
      <c r="BE50" s="202"/>
    </row>
    <row r="51" spans="1:57" s="31" customFormat="1" ht="17.5" customHeight="1" thickBot="1" x14ac:dyDescent="0.4">
      <c r="A51" s="100"/>
      <c r="B51" s="101"/>
      <c r="C51" s="129"/>
      <c r="D51" s="102"/>
      <c r="E51" s="101"/>
      <c r="F51" s="101"/>
      <c r="G51" s="101"/>
      <c r="H51" s="101"/>
      <c r="I51" s="101"/>
      <c r="J51" s="102"/>
      <c r="K51" s="103"/>
      <c r="L51" s="104"/>
      <c r="M51" s="105"/>
      <c r="N51" s="105"/>
      <c r="O51" s="99"/>
      <c r="P51" s="198"/>
      <c r="Q51" s="68"/>
      <c r="R51" s="68"/>
      <c r="S51" s="68"/>
      <c r="T51" s="68"/>
      <c r="U51" s="209"/>
      <c r="V51" s="199"/>
      <c r="W51" s="200"/>
      <c r="X51" s="201"/>
      <c r="Y51" s="202"/>
      <c r="Z51" s="194"/>
      <c r="AA51" s="203"/>
      <c r="AB51" s="200"/>
      <c r="AC51" s="201"/>
      <c r="AD51" s="201"/>
      <c r="AE51" s="206"/>
      <c r="AF51" s="203"/>
      <c r="AG51" s="200"/>
      <c r="AH51" s="201"/>
      <c r="AI51" s="202"/>
      <c r="AJ51" s="194"/>
      <c r="AK51" s="203"/>
      <c r="AL51" s="200"/>
      <c r="AM51" s="201"/>
      <c r="AN51" s="202"/>
      <c r="AO51" s="194"/>
      <c r="AP51" s="203"/>
      <c r="AQ51" s="200"/>
      <c r="AR51" s="201"/>
      <c r="AS51" s="202"/>
      <c r="AT51" s="194"/>
      <c r="AU51" s="203"/>
      <c r="AV51" s="200"/>
      <c r="AW51" s="201"/>
      <c r="AX51" s="202"/>
      <c r="AY51" s="194"/>
      <c r="AZ51" s="203"/>
      <c r="BA51" s="206"/>
      <c r="BB51" s="207"/>
      <c r="BC51" s="194"/>
      <c r="BD51" s="208"/>
      <c r="BE51" s="202"/>
    </row>
    <row r="52" spans="1:57" s="31" customFormat="1" ht="17.5" customHeight="1" x14ac:dyDescent="0.35">
      <c r="A52" s="289">
        <v>3</v>
      </c>
      <c r="B52" s="306" t="s">
        <v>36</v>
      </c>
      <c r="C52" s="309" t="s">
        <v>107</v>
      </c>
      <c r="D52" s="310" t="s">
        <v>62</v>
      </c>
      <c r="E52" s="278" t="s">
        <v>96</v>
      </c>
      <c r="F52" s="278" t="s">
        <v>108</v>
      </c>
      <c r="G52" s="278">
        <v>9</v>
      </c>
      <c r="H52" s="278">
        <v>3</v>
      </c>
      <c r="I52" s="281">
        <f xml:space="preserve"> SUM(G52*H52)</f>
        <v>27</v>
      </c>
      <c r="J52" s="295">
        <f xml:space="preserve"> I63/8</f>
        <v>11.4375</v>
      </c>
      <c r="K52" s="287" t="s">
        <v>41</v>
      </c>
      <c r="L52" s="54">
        <v>8</v>
      </c>
      <c r="M52" s="288">
        <f>L63/8</f>
        <v>10.0625</v>
      </c>
      <c r="N52" s="288">
        <f>SUM(BD52:BD62)/8</f>
        <v>10.0625</v>
      </c>
      <c r="O52" s="54">
        <v>1</v>
      </c>
      <c r="P52" s="56" t="s">
        <v>109</v>
      </c>
      <c r="Q52" s="26">
        <v>0.3125</v>
      </c>
      <c r="R52" s="26">
        <v>0.64583333333333337</v>
      </c>
      <c r="S52" s="26">
        <v>0.33333333333333331</v>
      </c>
      <c r="T52" s="26">
        <v>0.54166666666666663</v>
      </c>
      <c r="U52" s="118"/>
      <c r="V52" s="58" t="s">
        <v>110</v>
      </c>
      <c r="W52" s="59"/>
      <c r="X52" s="83"/>
      <c r="Y52" s="65"/>
      <c r="Z52" s="29">
        <f t="shared" ref="Z52:Z69" si="44">(Y52-X52)*24</f>
        <v>0</v>
      </c>
      <c r="AA52" s="64">
        <f t="shared" ref="AA52:AA72" si="45">IF(Z52&gt;=6, (Z52-1), IF(Z52&lt;6, Z52))</f>
        <v>0</v>
      </c>
      <c r="AB52" s="59"/>
      <c r="AC52" s="83"/>
      <c r="AD52" s="83"/>
      <c r="AE52" s="62">
        <f t="shared" ref="AE52:AE69" si="46">(AD52-AC52)*24</f>
        <v>0</v>
      </c>
      <c r="AF52" s="64">
        <f t="shared" ref="AF52:AF72" si="47">IF(AE52&gt;=6, (AE52-1), IF(AE52&lt;6, AE52))</f>
        <v>0</v>
      </c>
      <c r="AG52" s="59"/>
      <c r="AH52" s="83"/>
      <c r="AI52" s="65"/>
      <c r="AJ52" s="29">
        <f t="shared" ref="AJ52:AJ69" si="48">(AI52-AH52)*24</f>
        <v>0</v>
      </c>
      <c r="AK52" s="64">
        <f t="shared" ref="AK52:AK72" si="49">IF(AJ52&gt;=6, (AJ52-1), IF(AJ52&lt;6, AJ52))</f>
        <v>0</v>
      </c>
      <c r="AL52" s="59"/>
      <c r="AM52" s="83"/>
      <c r="AN52" s="65"/>
      <c r="AO52" s="29">
        <f t="shared" ref="AO52:AO69" si="50">(AN52-AM52)*24</f>
        <v>0</v>
      </c>
      <c r="AP52" s="64">
        <f t="shared" ref="AP52:AP72" si="51">IF(AO52&gt;=6, (AO52-1), IF(AO52&lt;6, AO52))</f>
        <v>0</v>
      </c>
      <c r="AQ52" s="59"/>
      <c r="AR52" s="83"/>
      <c r="AS52" s="65"/>
      <c r="AT52" s="29">
        <f t="shared" ref="AT52:AT69" si="52">(AS52-AR52)*24</f>
        <v>0</v>
      </c>
      <c r="AU52" s="64">
        <f t="shared" ref="AU52:AU72" si="53">IF(AT52&gt;=6, (AT52-1), IF(AT52&lt;6, AT52))</f>
        <v>0</v>
      </c>
      <c r="AV52" s="59"/>
      <c r="AW52" s="83"/>
      <c r="AX52" s="65"/>
      <c r="AY52" s="29">
        <f t="shared" ref="AY52:AY69" si="54">(AX52-AW52)*24</f>
        <v>0</v>
      </c>
      <c r="AZ52" s="64">
        <f t="shared" ref="AZ52:AZ72" si="55">IF(AY52&gt;=6, (AY52-1), IF(AY52&lt;6, AY52))</f>
        <v>0</v>
      </c>
      <c r="BA52" s="62"/>
      <c r="BB52" s="63">
        <f t="shared" ref="BB52:BB72" si="56">AA52+AF52+AK52+AP52+AU52+AZ52</f>
        <v>0</v>
      </c>
      <c r="BC52" s="13">
        <f t="shared" ref="BC52:BC62" si="57">IF(BB52&gt;0, BB52, IF(BB52=0, L52))</f>
        <v>8</v>
      </c>
      <c r="BD52" s="64">
        <f t="shared" ref="BD52:BD62" si="58">IF(BA52=1, (BC52-L52), IF(BA52=0, BC52))</f>
        <v>8</v>
      </c>
      <c r="BE52" s="65"/>
    </row>
    <row r="53" spans="1:57" s="31" customFormat="1" ht="17.5" customHeight="1" x14ac:dyDescent="0.35">
      <c r="A53" s="290"/>
      <c r="B53" s="307"/>
      <c r="C53" s="309"/>
      <c r="D53" s="311"/>
      <c r="E53" s="279"/>
      <c r="F53" s="279"/>
      <c r="G53" s="279"/>
      <c r="H53" s="279"/>
      <c r="I53" s="282"/>
      <c r="J53" s="295"/>
      <c r="K53" s="287"/>
      <c r="L53" s="54">
        <v>8</v>
      </c>
      <c r="M53" s="288"/>
      <c r="N53" s="288"/>
      <c r="O53" s="54">
        <v>2</v>
      </c>
      <c r="P53" s="67" t="s">
        <v>111</v>
      </c>
      <c r="Q53" s="26">
        <v>0.3125</v>
      </c>
      <c r="R53" s="26">
        <v>0.6875</v>
      </c>
      <c r="S53" s="26"/>
      <c r="T53" s="26"/>
      <c r="U53" s="118"/>
      <c r="V53" s="69" t="s">
        <v>50</v>
      </c>
      <c r="W53" s="70"/>
      <c r="X53" s="28"/>
      <c r="Y53" s="73"/>
      <c r="Z53" s="29">
        <f t="shared" si="44"/>
        <v>0</v>
      </c>
      <c r="AA53" s="64">
        <f t="shared" si="45"/>
        <v>0</v>
      </c>
      <c r="AB53" s="70"/>
      <c r="AC53" s="28"/>
      <c r="AD53" s="28"/>
      <c r="AE53" s="62">
        <f t="shared" si="46"/>
        <v>0</v>
      </c>
      <c r="AF53" s="64">
        <f t="shared" si="47"/>
        <v>0</v>
      </c>
      <c r="AG53" s="70"/>
      <c r="AH53" s="28"/>
      <c r="AI53" s="73"/>
      <c r="AJ53" s="29">
        <f t="shared" si="48"/>
        <v>0</v>
      </c>
      <c r="AK53" s="64">
        <f t="shared" si="49"/>
        <v>0</v>
      </c>
      <c r="AL53" s="70"/>
      <c r="AM53" s="28"/>
      <c r="AN53" s="73"/>
      <c r="AO53" s="29">
        <f t="shared" si="50"/>
        <v>0</v>
      </c>
      <c r="AP53" s="64">
        <f t="shared" si="51"/>
        <v>0</v>
      </c>
      <c r="AQ53" s="70"/>
      <c r="AR53" s="28"/>
      <c r="AS53" s="73"/>
      <c r="AT53" s="29">
        <f t="shared" si="52"/>
        <v>0</v>
      </c>
      <c r="AU53" s="64">
        <f t="shared" si="53"/>
        <v>0</v>
      </c>
      <c r="AV53" s="70"/>
      <c r="AW53" s="28"/>
      <c r="AX53" s="73"/>
      <c r="AY53" s="29">
        <f t="shared" si="54"/>
        <v>0</v>
      </c>
      <c r="AZ53" s="64">
        <f t="shared" si="55"/>
        <v>0</v>
      </c>
      <c r="BA53" s="62"/>
      <c r="BB53" s="63">
        <f t="shared" si="56"/>
        <v>0</v>
      </c>
      <c r="BC53" s="13">
        <f t="shared" si="57"/>
        <v>8</v>
      </c>
      <c r="BD53" s="64">
        <f t="shared" si="58"/>
        <v>8</v>
      </c>
      <c r="BE53" s="73"/>
    </row>
    <row r="54" spans="1:57" s="31" customFormat="1" ht="17.5" customHeight="1" thickBot="1" x14ac:dyDescent="0.4">
      <c r="A54" s="290"/>
      <c r="B54" s="307"/>
      <c r="C54" s="309"/>
      <c r="D54" s="311"/>
      <c r="E54" s="280"/>
      <c r="F54" s="280"/>
      <c r="G54" s="280"/>
      <c r="H54" s="280"/>
      <c r="I54" s="283"/>
      <c r="J54" s="295"/>
      <c r="K54" s="287"/>
      <c r="L54" s="54">
        <v>8</v>
      </c>
      <c r="M54" s="288"/>
      <c r="N54" s="288"/>
      <c r="O54" s="54">
        <v>3</v>
      </c>
      <c r="P54" s="85" t="s">
        <v>112</v>
      </c>
      <c r="Q54" s="86">
        <v>0.3125</v>
      </c>
      <c r="R54" s="86">
        <v>0.6875</v>
      </c>
      <c r="S54" s="86"/>
      <c r="T54" s="86"/>
      <c r="U54" s="126"/>
      <c r="V54" s="88" t="s">
        <v>50</v>
      </c>
      <c r="W54" s="89"/>
      <c r="X54" s="90"/>
      <c r="Y54" s="91"/>
      <c r="Z54" s="77">
        <f t="shared" si="44"/>
        <v>0</v>
      </c>
      <c r="AA54" s="81">
        <f t="shared" si="45"/>
        <v>0</v>
      </c>
      <c r="AB54" s="89"/>
      <c r="AC54" s="90"/>
      <c r="AD54" s="90"/>
      <c r="AE54" s="78">
        <f t="shared" si="46"/>
        <v>0</v>
      </c>
      <c r="AF54" s="81">
        <f t="shared" si="47"/>
        <v>0</v>
      </c>
      <c r="AG54" s="89"/>
      <c r="AH54" s="90"/>
      <c r="AI54" s="91"/>
      <c r="AJ54" s="77">
        <f t="shared" si="48"/>
        <v>0</v>
      </c>
      <c r="AK54" s="81">
        <f t="shared" si="49"/>
        <v>0</v>
      </c>
      <c r="AL54" s="89"/>
      <c r="AM54" s="90"/>
      <c r="AN54" s="91"/>
      <c r="AO54" s="77">
        <f t="shared" si="50"/>
        <v>0</v>
      </c>
      <c r="AP54" s="81">
        <f t="shared" si="51"/>
        <v>0</v>
      </c>
      <c r="AQ54" s="89"/>
      <c r="AR54" s="90"/>
      <c r="AS54" s="91"/>
      <c r="AT54" s="77">
        <f t="shared" si="52"/>
        <v>0</v>
      </c>
      <c r="AU54" s="81">
        <f t="shared" si="53"/>
        <v>0</v>
      </c>
      <c r="AV54" s="89"/>
      <c r="AW54" s="90"/>
      <c r="AX54" s="91"/>
      <c r="AY54" s="77">
        <f t="shared" si="54"/>
        <v>0</v>
      </c>
      <c r="AZ54" s="81">
        <f t="shared" si="55"/>
        <v>0</v>
      </c>
      <c r="BA54" s="78"/>
      <c r="BB54" s="79">
        <f t="shared" si="56"/>
        <v>0</v>
      </c>
      <c r="BC54" s="80">
        <f t="shared" si="57"/>
        <v>8</v>
      </c>
      <c r="BD54" s="81">
        <f t="shared" si="58"/>
        <v>8</v>
      </c>
      <c r="BE54" s="91"/>
    </row>
    <row r="55" spans="1:57" s="31" customFormat="1" ht="17.5" customHeight="1" thickBot="1" x14ac:dyDescent="0.4">
      <c r="A55" s="290"/>
      <c r="B55" s="307"/>
      <c r="C55" s="309"/>
      <c r="D55" s="311"/>
      <c r="E55" s="130" t="s">
        <v>39</v>
      </c>
      <c r="F55" s="131">
        <v>0.625</v>
      </c>
      <c r="G55" s="51">
        <v>7</v>
      </c>
      <c r="H55" s="51">
        <v>1</v>
      </c>
      <c r="I55" s="108">
        <f xml:space="preserve"> SUM(G55*H55)</f>
        <v>7</v>
      </c>
      <c r="J55" s="295"/>
      <c r="K55" s="287"/>
      <c r="L55" s="54">
        <v>6</v>
      </c>
      <c r="M55" s="288"/>
      <c r="N55" s="288"/>
      <c r="O55" s="54">
        <v>1</v>
      </c>
      <c r="P55" s="110" t="s">
        <v>113</v>
      </c>
      <c r="Q55" s="111">
        <v>0.29166666666666669</v>
      </c>
      <c r="R55" s="111">
        <v>0.66666666666666663</v>
      </c>
      <c r="S55" s="26">
        <v>0.29166666666666669</v>
      </c>
      <c r="T55" s="26">
        <v>0.5</v>
      </c>
      <c r="U55" s="126"/>
      <c r="V55" s="132" t="s">
        <v>50</v>
      </c>
      <c r="W55" s="112"/>
      <c r="X55" s="121"/>
      <c r="Y55" s="122"/>
      <c r="Z55" s="113">
        <f t="shared" si="44"/>
        <v>0</v>
      </c>
      <c r="AA55" s="81">
        <f t="shared" si="45"/>
        <v>0</v>
      </c>
      <c r="AB55" s="112"/>
      <c r="AC55" s="121"/>
      <c r="AD55" s="121"/>
      <c r="AE55" s="123">
        <f t="shared" si="46"/>
        <v>0</v>
      </c>
      <c r="AF55" s="81">
        <f t="shared" si="47"/>
        <v>0</v>
      </c>
      <c r="AG55" s="112"/>
      <c r="AH55" s="121"/>
      <c r="AI55" s="122"/>
      <c r="AJ55" s="113">
        <f t="shared" si="48"/>
        <v>0</v>
      </c>
      <c r="AK55" s="81">
        <f t="shared" si="49"/>
        <v>0</v>
      </c>
      <c r="AL55" s="112"/>
      <c r="AM55" s="121"/>
      <c r="AN55" s="122"/>
      <c r="AO55" s="113">
        <f t="shared" si="50"/>
        <v>0</v>
      </c>
      <c r="AP55" s="81">
        <f t="shared" si="51"/>
        <v>0</v>
      </c>
      <c r="AQ55" s="112"/>
      <c r="AR55" s="121"/>
      <c r="AS55" s="122"/>
      <c r="AT55" s="113">
        <f t="shared" si="52"/>
        <v>0</v>
      </c>
      <c r="AU55" s="81">
        <f t="shared" si="53"/>
        <v>0</v>
      </c>
      <c r="AV55" s="112"/>
      <c r="AW55" s="121"/>
      <c r="AX55" s="122"/>
      <c r="AY55" s="113">
        <f t="shared" si="54"/>
        <v>0</v>
      </c>
      <c r="AZ55" s="81">
        <f t="shared" si="55"/>
        <v>0</v>
      </c>
      <c r="BA55" s="123"/>
      <c r="BB55" s="79">
        <f t="shared" si="56"/>
        <v>0</v>
      </c>
      <c r="BC55" s="115">
        <f t="shared" si="57"/>
        <v>6</v>
      </c>
      <c r="BD55" s="81">
        <f t="shared" si="58"/>
        <v>6</v>
      </c>
      <c r="BE55" s="122"/>
    </row>
    <row r="56" spans="1:57" s="31" customFormat="1" ht="17.5" customHeight="1" thickBot="1" x14ac:dyDescent="0.4">
      <c r="A56" s="290"/>
      <c r="B56" s="307"/>
      <c r="C56" s="309"/>
      <c r="D56" s="311"/>
      <c r="E56" s="51" t="s">
        <v>114</v>
      </c>
      <c r="F56" s="51" t="s">
        <v>67</v>
      </c>
      <c r="G56" s="51">
        <v>7.5</v>
      </c>
      <c r="H56" s="51">
        <v>1</v>
      </c>
      <c r="I56" s="108">
        <f xml:space="preserve"> SUM(G56*H56)</f>
        <v>7.5</v>
      </c>
      <c r="J56" s="295"/>
      <c r="K56" s="287"/>
      <c r="L56" s="54">
        <v>6.5</v>
      </c>
      <c r="M56" s="288"/>
      <c r="N56" s="288"/>
      <c r="O56" s="54">
        <v>1</v>
      </c>
      <c r="P56" s="133" t="s">
        <v>115</v>
      </c>
      <c r="Q56" s="111">
        <v>0.33333333333333331</v>
      </c>
      <c r="R56" s="111">
        <v>0.66666666666666663</v>
      </c>
      <c r="S56" s="111"/>
      <c r="T56" s="111"/>
      <c r="U56" s="126"/>
      <c r="V56" s="132" t="s">
        <v>43</v>
      </c>
      <c r="W56" s="112"/>
      <c r="X56" s="121"/>
      <c r="Y56" s="122"/>
      <c r="Z56" s="113">
        <f t="shared" si="44"/>
        <v>0</v>
      </c>
      <c r="AA56" s="81">
        <f t="shared" si="45"/>
        <v>0</v>
      </c>
      <c r="AB56" s="112"/>
      <c r="AC56" s="121"/>
      <c r="AD56" s="121"/>
      <c r="AE56" s="123">
        <f t="shared" si="46"/>
        <v>0</v>
      </c>
      <c r="AF56" s="81">
        <f t="shared" si="47"/>
        <v>0</v>
      </c>
      <c r="AG56" s="112"/>
      <c r="AH56" s="121"/>
      <c r="AI56" s="122"/>
      <c r="AJ56" s="113">
        <f t="shared" si="48"/>
        <v>0</v>
      </c>
      <c r="AK56" s="81">
        <f t="shared" si="49"/>
        <v>0</v>
      </c>
      <c r="AL56" s="112"/>
      <c r="AM56" s="121"/>
      <c r="AN56" s="122"/>
      <c r="AO56" s="113">
        <f t="shared" si="50"/>
        <v>0</v>
      </c>
      <c r="AP56" s="81">
        <f t="shared" si="51"/>
        <v>0</v>
      </c>
      <c r="AQ56" s="112"/>
      <c r="AR56" s="121"/>
      <c r="AS56" s="122"/>
      <c r="AT56" s="113">
        <f t="shared" si="52"/>
        <v>0</v>
      </c>
      <c r="AU56" s="81">
        <f t="shared" si="53"/>
        <v>0</v>
      </c>
      <c r="AV56" s="112"/>
      <c r="AW56" s="121"/>
      <c r="AX56" s="122"/>
      <c r="AY56" s="113">
        <f t="shared" si="54"/>
        <v>0</v>
      </c>
      <c r="AZ56" s="81">
        <f t="shared" si="55"/>
        <v>0</v>
      </c>
      <c r="BA56" s="123"/>
      <c r="BB56" s="79">
        <f t="shared" si="56"/>
        <v>0</v>
      </c>
      <c r="BC56" s="115">
        <f t="shared" si="57"/>
        <v>6.5</v>
      </c>
      <c r="BD56" s="81">
        <f t="shared" si="58"/>
        <v>6.5</v>
      </c>
      <c r="BE56" s="122"/>
    </row>
    <row r="57" spans="1:57" s="31" customFormat="1" ht="17.5" customHeight="1" thickBot="1" x14ac:dyDescent="0.4">
      <c r="A57" s="290"/>
      <c r="B57" s="307"/>
      <c r="C57" s="309"/>
      <c r="D57" s="311"/>
      <c r="E57" s="51" t="s">
        <v>71</v>
      </c>
      <c r="F57" s="51" t="s">
        <v>58</v>
      </c>
      <c r="G57" s="51">
        <v>8</v>
      </c>
      <c r="H57" s="51">
        <v>1</v>
      </c>
      <c r="I57" s="108">
        <f xml:space="preserve"> SUM(G57*H57)</f>
        <v>8</v>
      </c>
      <c r="J57" s="295"/>
      <c r="K57" s="287"/>
      <c r="L57" s="54">
        <v>7</v>
      </c>
      <c r="M57" s="288"/>
      <c r="N57" s="288"/>
      <c r="O57" s="54">
        <v>1</v>
      </c>
      <c r="P57" s="120" t="s">
        <v>116</v>
      </c>
      <c r="Q57" s="111">
        <v>0.375</v>
      </c>
      <c r="R57" s="111">
        <v>0.70833333333333337</v>
      </c>
      <c r="S57" s="111"/>
      <c r="T57" s="111"/>
      <c r="U57" s="126"/>
      <c r="V57" s="132" t="s">
        <v>43</v>
      </c>
      <c r="W57" s="112"/>
      <c r="X57" s="121"/>
      <c r="Y57" s="122"/>
      <c r="Z57" s="113">
        <f t="shared" si="44"/>
        <v>0</v>
      </c>
      <c r="AA57" s="81">
        <f t="shared" si="45"/>
        <v>0</v>
      </c>
      <c r="AB57" s="112"/>
      <c r="AC57" s="121"/>
      <c r="AD57" s="121"/>
      <c r="AE57" s="123">
        <f t="shared" si="46"/>
        <v>0</v>
      </c>
      <c r="AF57" s="81">
        <f t="shared" si="47"/>
        <v>0</v>
      </c>
      <c r="AG57" s="112"/>
      <c r="AH57" s="121"/>
      <c r="AI57" s="122"/>
      <c r="AJ57" s="113">
        <f t="shared" si="48"/>
        <v>0</v>
      </c>
      <c r="AK57" s="81">
        <f t="shared" si="49"/>
        <v>0</v>
      </c>
      <c r="AL57" s="112"/>
      <c r="AM57" s="121"/>
      <c r="AN57" s="122"/>
      <c r="AO57" s="113">
        <f t="shared" si="50"/>
        <v>0</v>
      </c>
      <c r="AP57" s="81">
        <f t="shared" si="51"/>
        <v>0</v>
      </c>
      <c r="AQ57" s="112"/>
      <c r="AR57" s="121"/>
      <c r="AS57" s="122"/>
      <c r="AT57" s="113">
        <f t="shared" si="52"/>
        <v>0</v>
      </c>
      <c r="AU57" s="81">
        <f t="shared" si="53"/>
        <v>0</v>
      </c>
      <c r="AV57" s="112"/>
      <c r="AW57" s="121"/>
      <c r="AX57" s="122"/>
      <c r="AY57" s="113">
        <f t="shared" si="54"/>
        <v>0</v>
      </c>
      <c r="AZ57" s="81">
        <f t="shared" si="55"/>
        <v>0</v>
      </c>
      <c r="BA57" s="123"/>
      <c r="BB57" s="79">
        <f t="shared" si="56"/>
        <v>0</v>
      </c>
      <c r="BC57" s="115">
        <f t="shared" si="57"/>
        <v>7</v>
      </c>
      <c r="BD57" s="81">
        <f t="shared" si="58"/>
        <v>7</v>
      </c>
      <c r="BE57" s="122"/>
    </row>
    <row r="58" spans="1:57" s="31" customFormat="1" ht="17.5" customHeight="1" thickBot="1" x14ac:dyDescent="0.4">
      <c r="A58" s="290"/>
      <c r="B58" s="307"/>
      <c r="C58" s="309"/>
      <c r="D58" s="311"/>
      <c r="E58" s="135" t="s">
        <v>74</v>
      </c>
      <c r="F58" s="135" t="s">
        <v>75</v>
      </c>
      <c r="G58" s="135">
        <v>8</v>
      </c>
      <c r="H58" s="135">
        <v>1</v>
      </c>
      <c r="I58" s="136">
        <v>8</v>
      </c>
      <c r="J58" s="295"/>
      <c r="K58" s="287"/>
      <c r="L58" s="54">
        <v>7</v>
      </c>
      <c r="M58" s="288"/>
      <c r="N58" s="288"/>
      <c r="O58" s="54">
        <v>1</v>
      </c>
      <c r="P58" s="110" t="s">
        <v>117</v>
      </c>
      <c r="Q58" s="111">
        <v>0.41666666666666669</v>
      </c>
      <c r="R58" s="111">
        <v>0.75</v>
      </c>
      <c r="S58" s="111">
        <v>0.33333333333333331</v>
      </c>
      <c r="T58" s="111">
        <v>0.54166666666666663</v>
      </c>
      <c r="U58" s="126"/>
      <c r="V58" s="132" t="s">
        <v>43</v>
      </c>
      <c r="W58" s="112"/>
      <c r="X58" s="121"/>
      <c r="Y58" s="122"/>
      <c r="Z58" s="113">
        <f t="shared" si="44"/>
        <v>0</v>
      </c>
      <c r="AA58" s="81">
        <f t="shared" si="45"/>
        <v>0</v>
      </c>
      <c r="AB58" s="112"/>
      <c r="AC58" s="121"/>
      <c r="AD58" s="121"/>
      <c r="AE58" s="123">
        <f t="shared" si="46"/>
        <v>0</v>
      </c>
      <c r="AF58" s="81">
        <f t="shared" si="47"/>
        <v>0</v>
      </c>
      <c r="AG58" s="112"/>
      <c r="AH58" s="121"/>
      <c r="AI58" s="122"/>
      <c r="AJ58" s="113">
        <f t="shared" si="48"/>
        <v>0</v>
      </c>
      <c r="AK58" s="81">
        <f t="shared" si="49"/>
        <v>0</v>
      </c>
      <c r="AL58" s="112"/>
      <c r="AM58" s="121"/>
      <c r="AN58" s="122"/>
      <c r="AO58" s="113">
        <f t="shared" si="50"/>
        <v>0</v>
      </c>
      <c r="AP58" s="81">
        <f t="shared" si="51"/>
        <v>0</v>
      </c>
      <c r="AQ58" s="112"/>
      <c r="AR58" s="121"/>
      <c r="AS58" s="122"/>
      <c r="AT58" s="113">
        <f t="shared" si="52"/>
        <v>0</v>
      </c>
      <c r="AU58" s="81">
        <f t="shared" si="53"/>
        <v>0</v>
      </c>
      <c r="AV58" s="112"/>
      <c r="AW58" s="121"/>
      <c r="AX58" s="122"/>
      <c r="AY58" s="113">
        <f t="shared" si="54"/>
        <v>0</v>
      </c>
      <c r="AZ58" s="81">
        <f t="shared" si="55"/>
        <v>0</v>
      </c>
      <c r="BA58" s="123"/>
      <c r="BB58" s="79">
        <f t="shared" si="56"/>
        <v>0</v>
      </c>
      <c r="BC58" s="115">
        <f t="shared" si="57"/>
        <v>7</v>
      </c>
      <c r="BD58" s="81">
        <f t="shared" si="58"/>
        <v>7</v>
      </c>
      <c r="BE58" s="122"/>
    </row>
    <row r="59" spans="1:57" s="31" customFormat="1" ht="17.5" customHeight="1" x14ac:dyDescent="0.35">
      <c r="A59" s="290"/>
      <c r="B59" s="307"/>
      <c r="C59" s="309"/>
      <c r="D59" s="311"/>
      <c r="E59" s="278" t="s">
        <v>81</v>
      </c>
      <c r="F59" s="278" t="s">
        <v>53</v>
      </c>
      <c r="G59" s="278">
        <v>8</v>
      </c>
      <c r="H59" s="278">
        <v>2</v>
      </c>
      <c r="I59" s="281">
        <f xml:space="preserve"> SUM(G59*H59)</f>
        <v>16</v>
      </c>
      <c r="J59" s="295"/>
      <c r="K59" s="287"/>
      <c r="L59" s="54">
        <v>7</v>
      </c>
      <c r="M59" s="288"/>
      <c r="N59" s="288"/>
      <c r="O59" s="54">
        <v>1</v>
      </c>
      <c r="P59" s="56" t="s">
        <v>118</v>
      </c>
      <c r="Q59" s="26">
        <v>0.45833333333333331</v>
      </c>
      <c r="R59" s="26">
        <v>0.79166666666666663</v>
      </c>
      <c r="S59" s="26">
        <v>0.33333333333333331</v>
      </c>
      <c r="T59" s="26">
        <v>0.54166666666666663</v>
      </c>
      <c r="U59" s="210"/>
      <c r="V59" s="69" t="s">
        <v>43</v>
      </c>
      <c r="W59" s="59"/>
      <c r="X59" s="83"/>
      <c r="Y59" s="65"/>
      <c r="Z59" s="29">
        <f t="shared" si="44"/>
        <v>0</v>
      </c>
      <c r="AA59" s="64">
        <f t="shared" si="45"/>
        <v>0</v>
      </c>
      <c r="AB59" s="59"/>
      <c r="AC59" s="83"/>
      <c r="AD59" s="83"/>
      <c r="AE59" s="62">
        <f t="shared" si="46"/>
        <v>0</v>
      </c>
      <c r="AF59" s="64">
        <f t="shared" si="47"/>
        <v>0</v>
      </c>
      <c r="AG59" s="59"/>
      <c r="AH59" s="83"/>
      <c r="AI59" s="65"/>
      <c r="AJ59" s="29">
        <f t="shared" si="48"/>
        <v>0</v>
      </c>
      <c r="AK59" s="64">
        <f t="shared" si="49"/>
        <v>0</v>
      </c>
      <c r="AL59" s="59"/>
      <c r="AM59" s="83"/>
      <c r="AN59" s="65"/>
      <c r="AO59" s="29">
        <f t="shared" si="50"/>
        <v>0</v>
      </c>
      <c r="AP59" s="64">
        <f t="shared" si="51"/>
        <v>0</v>
      </c>
      <c r="AQ59" s="59"/>
      <c r="AR59" s="83"/>
      <c r="AS59" s="65"/>
      <c r="AT59" s="29">
        <f t="shared" si="52"/>
        <v>0</v>
      </c>
      <c r="AU59" s="64">
        <f t="shared" si="53"/>
        <v>0</v>
      </c>
      <c r="AV59" s="59"/>
      <c r="AW59" s="83"/>
      <c r="AX59" s="65"/>
      <c r="AY59" s="29">
        <f t="shared" si="54"/>
        <v>0</v>
      </c>
      <c r="AZ59" s="64">
        <f t="shared" si="55"/>
        <v>0</v>
      </c>
      <c r="BA59" s="62"/>
      <c r="BB59" s="63">
        <f t="shared" si="56"/>
        <v>0</v>
      </c>
      <c r="BC59" s="137">
        <f t="shared" si="57"/>
        <v>7</v>
      </c>
      <c r="BD59" s="64">
        <f t="shared" si="58"/>
        <v>7</v>
      </c>
      <c r="BE59" s="65"/>
    </row>
    <row r="60" spans="1:57" s="31" customFormat="1" ht="17.5" customHeight="1" thickBot="1" x14ac:dyDescent="0.4">
      <c r="A60" s="290"/>
      <c r="B60" s="307"/>
      <c r="C60" s="309"/>
      <c r="D60" s="311"/>
      <c r="E60" s="280"/>
      <c r="F60" s="280"/>
      <c r="G60" s="280"/>
      <c r="H60" s="280"/>
      <c r="I60" s="283"/>
      <c r="J60" s="295"/>
      <c r="K60" s="287"/>
      <c r="L60" s="54">
        <v>7</v>
      </c>
      <c r="M60" s="288"/>
      <c r="N60" s="288"/>
      <c r="O60" s="54">
        <v>2</v>
      </c>
      <c r="P60" s="98" t="s">
        <v>119</v>
      </c>
      <c r="Q60" s="86">
        <v>0.33333333333333331</v>
      </c>
      <c r="R60" s="86">
        <v>0.83333333333333337</v>
      </c>
      <c r="S60" s="86"/>
      <c r="T60" s="86"/>
      <c r="U60" s="126"/>
      <c r="V60" s="88" t="s">
        <v>89</v>
      </c>
      <c r="W60" s="89"/>
      <c r="X60" s="90"/>
      <c r="Y60" s="91"/>
      <c r="Z60" s="77">
        <f t="shared" si="44"/>
        <v>0</v>
      </c>
      <c r="AA60" s="81">
        <f t="shared" si="45"/>
        <v>0</v>
      </c>
      <c r="AB60" s="89"/>
      <c r="AC60" s="90"/>
      <c r="AD60" s="90"/>
      <c r="AE60" s="78">
        <f t="shared" si="46"/>
        <v>0</v>
      </c>
      <c r="AF60" s="81">
        <f t="shared" si="47"/>
        <v>0</v>
      </c>
      <c r="AG60" s="89"/>
      <c r="AH60" s="90"/>
      <c r="AI60" s="91"/>
      <c r="AJ60" s="77">
        <f t="shared" si="48"/>
        <v>0</v>
      </c>
      <c r="AK60" s="81">
        <f t="shared" si="49"/>
        <v>0</v>
      </c>
      <c r="AL60" s="89"/>
      <c r="AM60" s="90"/>
      <c r="AN60" s="91"/>
      <c r="AO60" s="77">
        <f t="shared" si="50"/>
        <v>0</v>
      </c>
      <c r="AP60" s="81">
        <f t="shared" si="51"/>
        <v>0</v>
      </c>
      <c r="AQ60" s="89"/>
      <c r="AR60" s="90"/>
      <c r="AS60" s="91"/>
      <c r="AT60" s="77">
        <f t="shared" si="52"/>
        <v>0</v>
      </c>
      <c r="AU60" s="81">
        <f t="shared" si="53"/>
        <v>0</v>
      </c>
      <c r="AV60" s="89"/>
      <c r="AW60" s="90"/>
      <c r="AX60" s="91"/>
      <c r="AY60" s="77">
        <f t="shared" si="54"/>
        <v>0</v>
      </c>
      <c r="AZ60" s="81">
        <f t="shared" si="55"/>
        <v>0</v>
      </c>
      <c r="BA60" s="78"/>
      <c r="BB60" s="79">
        <f t="shared" si="56"/>
        <v>0</v>
      </c>
      <c r="BC60" s="80">
        <f t="shared" si="57"/>
        <v>7</v>
      </c>
      <c r="BD60" s="81">
        <f t="shared" si="58"/>
        <v>7</v>
      </c>
      <c r="BE60" s="91"/>
    </row>
    <row r="61" spans="1:57" s="31" customFormat="1" ht="17.5" customHeight="1" thickBot="1" x14ac:dyDescent="0.4">
      <c r="A61" s="290"/>
      <c r="B61" s="307"/>
      <c r="C61" s="309"/>
      <c r="D61" s="311"/>
      <c r="E61" s="51" t="s">
        <v>52</v>
      </c>
      <c r="F61" s="51" t="s">
        <v>83</v>
      </c>
      <c r="G61" s="51">
        <v>8</v>
      </c>
      <c r="H61" s="51">
        <v>1</v>
      </c>
      <c r="I61" s="108">
        <f xml:space="preserve"> SUM(G61*H61)</f>
        <v>8</v>
      </c>
      <c r="J61" s="295"/>
      <c r="K61" s="287"/>
      <c r="L61" s="54">
        <v>7</v>
      </c>
      <c r="M61" s="288"/>
      <c r="N61" s="288"/>
      <c r="O61" s="54">
        <v>1</v>
      </c>
      <c r="P61" s="110" t="s">
        <v>120</v>
      </c>
      <c r="Q61" s="57">
        <v>0.54166666666666663</v>
      </c>
      <c r="R61" s="57">
        <v>0.875</v>
      </c>
      <c r="S61" s="26">
        <v>0.33333333333333331</v>
      </c>
      <c r="T61" s="26">
        <v>0.54166666666666663</v>
      </c>
      <c r="U61" s="126"/>
      <c r="V61" s="132" t="s">
        <v>43</v>
      </c>
      <c r="W61" s="112"/>
      <c r="X61" s="121"/>
      <c r="Y61" s="122"/>
      <c r="Z61" s="113">
        <f t="shared" si="44"/>
        <v>0</v>
      </c>
      <c r="AA61" s="81">
        <f t="shared" si="45"/>
        <v>0</v>
      </c>
      <c r="AB61" s="112"/>
      <c r="AC61" s="121"/>
      <c r="AD61" s="121"/>
      <c r="AE61" s="123">
        <f t="shared" si="46"/>
        <v>0</v>
      </c>
      <c r="AF61" s="81">
        <f t="shared" si="47"/>
        <v>0</v>
      </c>
      <c r="AG61" s="112"/>
      <c r="AH61" s="121"/>
      <c r="AI61" s="122"/>
      <c r="AJ61" s="113">
        <f t="shared" si="48"/>
        <v>0</v>
      </c>
      <c r="AK61" s="81">
        <f t="shared" si="49"/>
        <v>0</v>
      </c>
      <c r="AL61" s="112"/>
      <c r="AM61" s="121"/>
      <c r="AN61" s="122"/>
      <c r="AO61" s="113">
        <f t="shared" si="50"/>
        <v>0</v>
      </c>
      <c r="AP61" s="81">
        <f t="shared" si="51"/>
        <v>0</v>
      </c>
      <c r="AQ61" s="112"/>
      <c r="AR61" s="121"/>
      <c r="AS61" s="122"/>
      <c r="AT61" s="113">
        <f t="shared" si="52"/>
        <v>0</v>
      </c>
      <c r="AU61" s="81">
        <f t="shared" si="53"/>
        <v>0</v>
      </c>
      <c r="AV61" s="112"/>
      <c r="AW61" s="121"/>
      <c r="AX61" s="122"/>
      <c r="AY61" s="113">
        <f t="shared" si="54"/>
        <v>0</v>
      </c>
      <c r="AZ61" s="81">
        <f t="shared" si="55"/>
        <v>0</v>
      </c>
      <c r="BA61" s="123"/>
      <c r="BB61" s="79">
        <f t="shared" si="56"/>
        <v>0</v>
      </c>
      <c r="BC61" s="115">
        <f t="shared" si="57"/>
        <v>7</v>
      </c>
      <c r="BD61" s="81">
        <f t="shared" si="58"/>
        <v>7</v>
      </c>
      <c r="BE61" s="122"/>
    </row>
    <row r="62" spans="1:57" s="31" customFormat="1" ht="17.5" customHeight="1" thickBot="1" x14ac:dyDescent="0.4">
      <c r="A62" s="290"/>
      <c r="B62" s="307"/>
      <c r="C62" s="309"/>
      <c r="D62" s="311"/>
      <c r="E62" s="138" t="s">
        <v>83</v>
      </c>
      <c r="F62" s="138" t="s">
        <v>121</v>
      </c>
      <c r="G62" s="138">
        <v>10</v>
      </c>
      <c r="H62" s="138">
        <v>1</v>
      </c>
      <c r="I62" s="139">
        <f xml:space="preserve"> SUM(G62*1)</f>
        <v>10</v>
      </c>
      <c r="J62" s="295"/>
      <c r="K62" s="287"/>
      <c r="L62" s="54">
        <v>9</v>
      </c>
      <c r="M62" s="288"/>
      <c r="N62" s="288"/>
      <c r="O62" s="54">
        <v>1</v>
      </c>
      <c r="P62" s="140" t="s">
        <v>122</v>
      </c>
      <c r="Q62" s="111">
        <v>0.83333333333333337</v>
      </c>
      <c r="R62" s="111">
        <v>0.33333333333333331</v>
      </c>
      <c r="S62" s="111"/>
      <c r="T62" s="111"/>
      <c r="U62" s="126"/>
      <c r="V62" s="132" t="s">
        <v>123</v>
      </c>
      <c r="W62" s="112"/>
      <c r="X62" s="121"/>
      <c r="Y62" s="122"/>
      <c r="Z62" s="113">
        <f>MOD(Y62-X62,1)*24</f>
        <v>0</v>
      </c>
      <c r="AA62" s="81">
        <f t="shared" si="45"/>
        <v>0</v>
      </c>
      <c r="AB62" s="112"/>
      <c r="AC62" s="121"/>
      <c r="AD62" s="121"/>
      <c r="AE62" s="113">
        <f>MOD(AD62-AC62,1)*24</f>
        <v>0</v>
      </c>
      <c r="AF62" s="81">
        <f t="shared" si="47"/>
        <v>0</v>
      </c>
      <c r="AG62" s="112"/>
      <c r="AH62" s="121"/>
      <c r="AI62" s="122"/>
      <c r="AJ62" s="113">
        <f>MOD(AI62-AH62,1)*24</f>
        <v>0</v>
      </c>
      <c r="AK62" s="81">
        <f t="shared" si="49"/>
        <v>0</v>
      </c>
      <c r="AL62" s="112"/>
      <c r="AM62" s="121"/>
      <c r="AN62" s="122"/>
      <c r="AO62" s="113">
        <f>MOD(AN62-AM62,1)*24</f>
        <v>0</v>
      </c>
      <c r="AP62" s="81">
        <f t="shared" si="51"/>
        <v>0</v>
      </c>
      <c r="AQ62" s="112"/>
      <c r="AR62" s="121"/>
      <c r="AS62" s="122"/>
      <c r="AT62" s="113">
        <f>MOD(AS62-AR62,1)*24</f>
        <v>0</v>
      </c>
      <c r="AU62" s="81">
        <f t="shared" si="53"/>
        <v>0</v>
      </c>
      <c r="AV62" s="112"/>
      <c r="AW62" s="121"/>
      <c r="AX62" s="122"/>
      <c r="AY62" s="113">
        <f>MOD(AX62-AW62,1)*24</f>
        <v>0</v>
      </c>
      <c r="AZ62" s="81">
        <f t="shared" si="55"/>
        <v>0</v>
      </c>
      <c r="BA62" s="123"/>
      <c r="BB62" s="79">
        <f t="shared" si="56"/>
        <v>0</v>
      </c>
      <c r="BC62" s="80">
        <f t="shared" si="57"/>
        <v>9</v>
      </c>
      <c r="BD62" s="81">
        <f t="shared" si="58"/>
        <v>9</v>
      </c>
      <c r="BE62" s="122"/>
    </row>
    <row r="63" spans="1:57" s="31" customFormat="1" ht="17.25" customHeight="1" thickBot="1" x14ac:dyDescent="0.4">
      <c r="A63" s="290"/>
      <c r="B63" s="307"/>
      <c r="C63" s="309"/>
      <c r="D63" s="311"/>
      <c r="E63" s="258" t="s">
        <v>56</v>
      </c>
      <c r="F63" s="259"/>
      <c r="G63" s="92"/>
      <c r="H63" s="141">
        <v>12</v>
      </c>
      <c r="I63" s="94">
        <f xml:space="preserve"> SUM(I52:I62)</f>
        <v>91.5</v>
      </c>
      <c r="J63" s="295"/>
      <c r="K63" s="245"/>
      <c r="L63" s="95">
        <f>SUM(L52:L62)</f>
        <v>80.5</v>
      </c>
      <c r="M63" s="288"/>
      <c r="N63" s="288"/>
      <c r="O63" s="142"/>
      <c r="P63" s="198"/>
      <c r="Q63" s="68"/>
      <c r="R63" s="68"/>
      <c r="S63" s="68"/>
      <c r="T63" s="68"/>
      <c r="U63" s="176"/>
      <c r="V63" s="199"/>
      <c r="W63" s="200"/>
      <c r="X63" s="201"/>
      <c r="Y63" s="202"/>
      <c r="Z63" s="203"/>
      <c r="AA63" s="203"/>
      <c r="AB63" s="200"/>
      <c r="AC63" s="201"/>
      <c r="AD63" s="201"/>
      <c r="AE63" s="204"/>
      <c r="AF63" s="203"/>
      <c r="AG63" s="200"/>
      <c r="AH63" s="201"/>
      <c r="AI63" s="202"/>
      <c r="AJ63" s="203"/>
      <c r="AK63" s="203"/>
      <c r="AL63" s="200"/>
      <c r="AM63" s="201"/>
      <c r="AN63" s="202"/>
      <c r="AO63" s="203"/>
      <c r="AP63" s="203"/>
      <c r="AQ63" s="200"/>
      <c r="AR63" s="201"/>
      <c r="AS63" s="202"/>
      <c r="AT63" s="203"/>
      <c r="AU63" s="203"/>
      <c r="AV63" s="200"/>
      <c r="AW63" s="201"/>
      <c r="AX63" s="202"/>
      <c r="AY63" s="203"/>
      <c r="AZ63" s="203"/>
      <c r="BA63" s="206"/>
      <c r="BB63" s="207"/>
      <c r="BC63" s="197"/>
      <c r="BD63" s="228">
        <f>SUM(BD52:BD62)</f>
        <v>80.5</v>
      </c>
      <c r="BE63" s="202"/>
    </row>
    <row r="64" spans="1:57" s="31" customFormat="1" ht="17.5" customHeight="1" thickBot="1" x14ac:dyDescent="0.4">
      <c r="A64" s="290"/>
      <c r="B64" s="307"/>
      <c r="C64" s="309"/>
      <c r="D64" s="311"/>
      <c r="E64" s="51" t="s">
        <v>96</v>
      </c>
      <c r="F64" s="131">
        <v>0.625</v>
      </c>
      <c r="G64" s="51">
        <v>7.5</v>
      </c>
      <c r="H64" s="51">
        <v>1</v>
      </c>
      <c r="I64" s="108">
        <f xml:space="preserve"> SUM(G64*H64)</f>
        <v>7.5</v>
      </c>
      <c r="J64" s="281">
        <f xml:space="preserve"> I71/8</f>
        <v>5.8125</v>
      </c>
      <c r="K64" s="264" t="s">
        <v>57</v>
      </c>
      <c r="L64" s="54">
        <v>6.5</v>
      </c>
      <c r="M64" s="267">
        <f>L71/8</f>
        <v>5.3125</v>
      </c>
      <c r="N64" s="288">
        <f>SUM(BD64:BD70)/8</f>
        <v>5.3125</v>
      </c>
      <c r="O64" s="54">
        <v>1</v>
      </c>
      <c r="P64" s="120"/>
      <c r="Q64" s="111"/>
      <c r="R64" s="111"/>
      <c r="S64" s="111"/>
      <c r="T64" s="111"/>
      <c r="U64" s="126"/>
      <c r="V64" s="132"/>
      <c r="W64" s="112"/>
      <c r="X64" s="121"/>
      <c r="Y64" s="122"/>
      <c r="Z64" s="113">
        <f t="shared" si="44"/>
        <v>0</v>
      </c>
      <c r="AA64" s="81">
        <f t="shared" si="45"/>
        <v>0</v>
      </c>
      <c r="AB64" s="112"/>
      <c r="AC64" s="121"/>
      <c r="AD64" s="121"/>
      <c r="AE64" s="123">
        <f t="shared" si="46"/>
        <v>0</v>
      </c>
      <c r="AF64" s="81">
        <f t="shared" si="47"/>
        <v>0</v>
      </c>
      <c r="AG64" s="112"/>
      <c r="AH64" s="121"/>
      <c r="AI64" s="122"/>
      <c r="AJ64" s="113">
        <f t="shared" si="48"/>
        <v>0</v>
      </c>
      <c r="AK64" s="81">
        <f t="shared" si="49"/>
        <v>0</v>
      </c>
      <c r="AL64" s="112"/>
      <c r="AM64" s="121"/>
      <c r="AN64" s="122"/>
      <c r="AO64" s="113">
        <f t="shared" si="50"/>
        <v>0</v>
      </c>
      <c r="AP64" s="81">
        <f t="shared" si="51"/>
        <v>0</v>
      </c>
      <c r="AQ64" s="112"/>
      <c r="AR64" s="121"/>
      <c r="AS64" s="122"/>
      <c r="AT64" s="113">
        <f t="shared" si="52"/>
        <v>0</v>
      </c>
      <c r="AU64" s="81">
        <f t="shared" si="53"/>
        <v>0</v>
      </c>
      <c r="AV64" s="112"/>
      <c r="AW64" s="121"/>
      <c r="AX64" s="122"/>
      <c r="AY64" s="113">
        <f t="shared" si="54"/>
        <v>0</v>
      </c>
      <c r="AZ64" s="81">
        <f t="shared" si="55"/>
        <v>0</v>
      </c>
      <c r="BA64" s="78"/>
      <c r="BB64" s="79">
        <f>AA64+AF64+AK64+AP64+AU64+AZ64</f>
        <v>0</v>
      </c>
      <c r="BC64" s="115">
        <f t="shared" ref="BC64:BC70" si="59">IF(BB64&gt;0, BB64, IF(BB64=0, L64))</f>
        <v>6.5</v>
      </c>
      <c r="BD64" s="81">
        <f t="shared" ref="BD64:BD70" si="60">IF(BA64=1, (BC64-L64), IF(BA64=0, BC64))</f>
        <v>6.5</v>
      </c>
      <c r="BE64" s="122"/>
    </row>
    <row r="65" spans="1:57" s="31" customFormat="1" ht="17.5" customHeight="1" thickBot="1" x14ac:dyDescent="0.4">
      <c r="A65" s="290"/>
      <c r="B65" s="307"/>
      <c r="C65" s="309"/>
      <c r="D65" s="311"/>
      <c r="E65" s="51" t="s">
        <v>96</v>
      </c>
      <c r="F65" s="51" t="s">
        <v>40</v>
      </c>
      <c r="G65" s="51">
        <v>4.5</v>
      </c>
      <c r="H65" s="51">
        <v>1</v>
      </c>
      <c r="I65" s="108">
        <f xml:space="preserve"> SUM(G65*H65)</f>
        <v>4.5</v>
      </c>
      <c r="J65" s="282"/>
      <c r="K65" s="265"/>
      <c r="L65" s="54">
        <v>4.5</v>
      </c>
      <c r="M65" s="268"/>
      <c r="N65" s="288"/>
      <c r="O65" s="54">
        <v>1</v>
      </c>
      <c r="P65" s="120"/>
      <c r="Q65" s="111"/>
      <c r="R65" s="111"/>
      <c r="S65" s="111"/>
      <c r="T65" s="111"/>
      <c r="U65" s="126"/>
      <c r="V65" s="132"/>
      <c r="W65" s="112"/>
      <c r="X65" s="121"/>
      <c r="Y65" s="122"/>
      <c r="Z65" s="113">
        <f t="shared" si="44"/>
        <v>0</v>
      </c>
      <c r="AA65" s="81">
        <f t="shared" si="45"/>
        <v>0</v>
      </c>
      <c r="AB65" s="112"/>
      <c r="AC65" s="121"/>
      <c r="AD65" s="121"/>
      <c r="AE65" s="123">
        <f t="shared" si="46"/>
        <v>0</v>
      </c>
      <c r="AF65" s="81">
        <f t="shared" si="47"/>
        <v>0</v>
      </c>
      <c r="AG65" s="112"/>
      <c r="AH65" s="121"/>
      <c r="AI65" s="122"/>
      <c r="AJ65" s="113">
        <f t="shared" si="48"/>
        <v>0</v>
      </c>
      <c r="AK65" s="81">
        <f t="shared" si="49"/>
        <v>0</v>
      </c>
      <c r="AL65" s="112"/>
      <c r="AM65" s="121"/>
      <c r="AN65" s="122"/>
      <c r="AO65" s="113">
        <f t="shared" si="50"/>
        <v>0</v>
      </c>
      <c r="AP65" s="81">
        <f t="shared" si="51"/>
        <v>0</v>
      </c>
      <c r="AQ65" s="112"/>
      <c r="AR65" s="121"/>
      <c r="AS65" s="122"/>
      <c r="AT65" s="113">
        <f t="shared" si="52"/>
        <v>0</v>
      </c>
      <c r="AU65" s="81">
        <f t="shared" si="53"/>
        <v>0</v>
      </c>
      <c r="AV65" s="112"/>
      <c r="AW65" s="121"/>
      <c r="AX65" s="122"/>
      <c r="AY65" s="113">
        <f t="shared" si="54"/>
        <v>0</v>
      </c>
      <c r="AZ65" s="81">
        <f t="shared" si="55"/>
        <v>0</v>
      </c>
      <c r="BA65" s="123"/>
      <c r="BB65" s="79">
        <f t="shared" si="56"/>
        <v>0</v>
      </c>
      <c r="BC65" s="115">
        <f t="shared" si="59"/>
        <v>4.5</v>
      </c>
      <c r="BD65" s="81">
        <f t="shared" si="60"/>
        <v>4.5</v>
      </c>
      <c r="BE65" s="122"/>
    </row>
    <row r="66" spans="1:57" s="31" customFormat="1" ht="17.5" customHeight="1" x14ac:dyDescent="0.35">
      <c r="A66" s="290"/>
      <c r="B66" s="307"/>
      <c r="C66" s="309"/>
      <c r="D66" s="311"/>
      <c r="E66" s="284" t="s">
        <v>39</v>
      </c>
      <c r="F66" s="278" t="s">
        <v>67</v>
      </c>
      <c r="G66" s="278">
        <v>8</v>
      </c>
      <c r="H66" s="278">
        <v>2</v>
      </c>
      <c r="I66" s="281">
        <f xml:space="preserve"> SUM(G66*H66)</f>
        <v>16</v>
      </c>
      <c r="J66" s="282"/>
      <c r="K66" s="265"/>
      <c r="L66" s="54">
        <v>7</v>
      </c>
      <c r="M66" s="268"/>
      <c r="N66" s="288"/>
      <c r="O66" s="54">
        <v>1</v>
      </c>
      <c r="P66" s="82"/>
      <c r="Q66" s="57"/>
      <c r="R66" s="57"/>
      <c r="S66" s="57"/>
      <c r="T66" s="57"/>
      <c r="U66" s="210"/>
      <c r="V66" s="58"/>
      <c r="W66" s="59"/>
      <c r="X66" s="83"/>
      <c r="Y66" s="65"/>
      <c r="Z66" s="29">
        <f t="shared" si="44"/>
        <v>0</v>
      </c>
      <c r="AA66" s="64">
        <f t="shared" si="45"/>
        <v>0</v>
      </c>
      <c r="AB66" s="59"/>
      <c r="AC66" s="83"/>
      <c r="AD66" s="83"/>
      <c r="AE66" s="62">
        <f t="shared" si="46"/>
        <v>0</v>
      </c>
      <c r="AF66" s="64">
        <f t="shared" si="47"/>
        <v>0</v>
      </c>
      <c r="AG66" s="59"/>
      <c r="AH66" s="83"/>
      <c r="AI66" s="65"/>
      <c r="AJ66" s="29">
        <f t="shared" si="48"/>
        <v>0</v>
      </c>
      <c r="AK66" s="64">
        <f t="shared" si="49"/>
        <v>0</v>
      </c>
      <c r="AL66" s="59"/>
      <c r="AM66" s="83"/>
      <c r="AN66" s="65"/>
      <c r="AO66" s="29">
        <f t="shared" si="50"/>
        <v>0</v>
      </c>
      <c r="AP66" s="64">
        <f t="shared" si="51"/>
        <v>0</v>
      </c>
      <c r="AQ66" s="59"/>
      <c r="AR66" s="83"/>
      <c r="AS66" s="65"/>
      <c r="AT66" s="29">
        <f t="shared" si="52"/>
        <v>0</v>
      </c>
      <c r="AU66" s="64">
        <f t="shared" si="53"/>
        <v>0</v>
      </c>
      <c r="AV66" s="59"/>
      <c r="AW66" s="83"/>
      <c r="AX66" s="65"/>
      <c r="AY66" s="29">
        <f t="shared" si="54"/>
        <v>0</v>
      </c>
      <c r="AZ66" s="64">
        <f t="shared" si="55"/>
        <v>0</v>
      </c>
      <c r="BA66" s="62"/>
      <c r="BB66" s="63">
        <f t="shared" si="56"/>
        <v>0</v>
      </c>
      <c r="BC66" s="137">
        <f t="shared" si="59"/>
        <v>7</v>
      </c>
      <c r="BD66" s="64">
        <f t="shared" si="60"/>
        <v>7</v>
      </c>
      <c r="BE66" s="65"/>
    </row>
    <row r="67" spans="1:57" s="31" customFormat="1" ht="17.5" customHeight="1" thickBot="1" x14ac:dyDescent="0.4">
      <c r="A67" s="290"/>
      <c r="B67" s="307"/>
      <c r="C67" s="309"/>
      <c r="D67" s="311"/>
      <c r="E67" s="285"/>
      <c r="F67" s="280"/>
      <c r="G67" s="280"/>
      <c r="H67" s="280"/>
      <c r="I67" s="283"/>
      <c r="J67" s="282"/>
      <c r="K67" s="265"/>
      <c r="L67" s="54">
        <v>7</v>
      </c>
      <c r="M67" s="268"/>
      <c r="N67" s="288"/>
      <c r="O67" s="54">
        <v>2</v>
      </c>
      <c r="P67" s="98"/>
      <c r="Q67" s="86"/>
      <c r="R67" s="86"/>
      <c r="S67" s="86"/>
      <c r="T67" s="86"/>
      <c r="U67" s="126"/>
      <c r="V67" s="88"/>
      <c r="W67" s="89"/>
      <c r="X67" s="90"/>
      <c r="Y67" s="91"/>
      <c r="Z67" s="77">
        <f t="shared" si="44"/>
        <v>0</v>
      </c>
      <c r="AA67" s="81">
        <f t="shared" si="45"/>
        <v>0</v>
      </c>
      <c r="AB67" s="89"/>
      <c r="AC67" s="90"/>
      <c r="AD67" s="90"/>
      <c r="AE67" s="78">
        <f t="shared" si="46"/>
        <v>0</v>
      </c>
      <c r="AF67" s="81">
        <f t="shared" si="47"/>
        <v>0</v>
      </c>
      <c r="AG67" s="89"/>
      <c r="AH67" s="90"/>
      <c r="AI67" s="91"/>
      <c r="AJ67" s="77">
        <f t="shared" si="48"/>
        <v>0</v>
      </c>
      <c r="AK67" s="81">
        <f t="shared" si="49"/>
        <v>0</v>
      </c>
      <c r="AL67" s="89"/>
      <c r="AM67" s="90"/>
      <c r="AN67" s="91"/>
      <c r="AO67" s="77">
        <f t="shared" si="50"/>
        <v>0</v>
      </c>
      <c r="AP67" s="81">
        <f t="shared" si="51"/>
        <v>0</v>
      </c>
      <c r="AQ67" s="89"/>
      <c r="AR67" s="90"/>
      <c r="AS67" s="91"/>
      <c r="AT67" s="77">
        <f t="shared" si="52"/>
        <v>0</v>
      </c>
      <c r="AU67" s="81">
        <f t="shared" si="53"/>
        <v>0</v>
      </c>
      <c r="AV67" s="89"/>
      <c r="AW67" s="90"/>
      <c r="AX67" s="91"/>
      <c r="AY67" s="77">
        <f t="shared" si="54"/>
        <v>0</v>
      </c>
      <c r="AZ67" s="81">
        <f t="shared" si="55"/>
        <v>0</v>
      </c>
      <c r="BA67" s="78"/>
      <c r="BB67" s="79">
        <f t="shared" si="56"/>
        <v>0</v>
      </c>
      <c r="BC67" s="80">
        <f t="shared" si="59"/>
        <v>7</v>
      </c>
      <c r="BD67" s="81">
        <f t="shared" si="60"/>
        <v>7</v>
      </c>
      <c r="BE67" s="91"/>
    </row>
    <row r="68" spans="1:57" s="31" customFormat="1" ht="17.5" customHeight="1" thickBot="1" x14ac:dyDescent="0.4">
      <c r="A68" s="290"/>
      <c r="B68" s="307"/>
      <c r="C68" s="309"/>
      <c r="D68" s="311"/>
      <c r="E68" s="51" t="s">
        <v>71</v>
      </c>
      <c r="F68" s="51" t="s">
        <v>52</v>
      </c>
      <c r="G68" s="51">
        <v>4</v>
      </c>
      <c r="H68" s="51">
        <v>1</v>
      </c>
      <c r="I68" s="108">
        <f xml:space="preserve"> SUM(G68*H68)</f>
        <v>4</v>
      </c>
      <c r="J68" s="282"/>
      <c r="K68" s="265"/>
      <c r="L68" s="54">
        <v>4</v>
      </c>
      <c r="M68" s="268"/>
      <c r="N68" s="288"/>
      <c r="O68" s="54">
        <v>1</v>
      </c>
      <c r="P68" s="120"/>
      <c r="Q68" s="111"/>
      <c r="R68" s="111"/>
      <c r="S68" s="111"/>
      <c r="T68" s="111"/>
      <c r="U68" s="126"/>
      <c r="V68" s="132"/>
      <c r="W68" s="112"/>
      <c r="X68" s="121"/>
      <c r="Y68" s="122"/>
      <c r="Z68" s="113">
        <f t="shared" si="44"/>
        <v>0</v>
      </c>
      <c r="AA68" s="81">
        <f t="shared" si="45"/>
        <v>0</v>
      </c>
      <c r="AB68" s="112"/>
      <c r="AC68" s="121"/>
      <c r="AD68" s="121"/>
      <c r="AE68" s="123">
        <f t="shared" si="46"/>
        <v>0</v>
      </c>
      <c r="AF68" s="81">
        <f t="shared" si="47"/>
        <v>0</v>
      </c>
      <c r="AG68" s="112"/>
      <c r="AH68" s="121"/>
      <c r="AI68" s="122"/>
      <c r="AJ68" s="113">
        <f t="shared" si="48"/>
        <v>0</v>
      </c>
      <c r="AK68" s="81">
        <f t="shared" si="49"/>
        <v>0</v>
      </c>
      <c r="AL68" s="112"/>
      <c r="AM68" s="121"/>
      <c r="AN68" s="122"/>
      <c r="AO68" s="113">
        <f t="shared" si="50"/>
        <v>0</v>
      </c>
      <c r="AP68" s="81">
        <f t="shared" si="51"/>
        <v>0</v>
      </c>
      <c r="AQ68" s="112"/>
      <c r="AR68" s="121"/>
      <c r="AS68" s="122"/>
      <c r="AT68" s="113">
        <f t="shared" si="52"/>
        <v>0</v>
      </c>
      <c r="AU68" s="81">
        <f t="shared" si="53"/>
        <v>0</v>
      </c>
      <c r="AV68" s="112"/>
      <c r="AW68" s="121"/>
      <c r="AX68" s="122"/>
      <c r="AY68" s="113">
        <f t="shared" si="54"/>
        <v>0</v>
      </c>
      <c r="AZ68" s="81">
        <f t="shared" si="55"/>
        <v>0</v>
      </c>
      <c r="BA68" s="123"/>
      <c r="BB68" s="79">
        <f t="shared" si="56"/>
        <v>0</v>
      </c>
      <c r="BC68" s="115">
        <f t="shared" si="59"/>
        <v>4</v>
      </c>
      <c r="BD68" s="81">
        <f t="shared" si="60"/>
        <v>4</v>
      </c>
      <c r="BE68" s="122"/>
    </row>
    <row r="69" spans="1:57" s="31" customFormat="1" ht="17.5" customHeight="1" thickBot="1" x14ac:dyDescent="0.4">
      <c r="A69" s="290"/>
      <c r="B69" s="307"/>
      <c r="C69" s="309"/>
      <c r="D69" s="311"/>
      <c r="E69" s="51" t="s">
        <v>71</v>
      </c>
      <c r="F69" s="51" t="s">
        <v>124</v>
      </c>
      <c r="G69" s="51">
        <v>4.5</v>
      </c>
      <c r="H69" s="51">
        <v>1</v>
      </c>
      <c r="I69" s="108">
        <f xml:space="preserve"> SUM(G69*H69)</f>
        <v>4.5</v>
      </c>
      <c r="J69" s="282"/>
      <c r="K69" s="265"/>
      <c r="L69" s="54">
        <v>4.5</v>
      </c>
      <c r="M69" s="268"/>
      <c r="N69" s="288"/>
      <c r="O69" s="54">
        <v>1</v>
      </c>
      <c r="P69" s="120"/>
      <c r="Q69" s="111"/>
      <c r="R69" s="111"/>
      <c r="S69" s="111"/>
      <c r="T69" s="111"/>
      <c r="U69" s="126"/>
      <c r="V69" s="132"/>
      <c r="W69" s="112"/>
      <c r="X69" s="121"/>
      <c r="Y69" s="122"/>
      <c r="Z69" s="113">
        <f t="shared" si="44"/>
        <v>0</v>
      </c>
      <c r="AA69" s="81">
        <f t="shared" si="45"/>
        <v>0</v>
      </c>
      <c r="AB69" s="112"/>
      <c r="AC69" s="121"/>
      <c r="AD69" s="121"/>
      <c r="AE69" s="123">
        <f t="shared" si="46"/>
        <v>0</v>
      </c>
      <c r="AF69" s="81">
        <f t="shared" si="47"/>
        <v>0</v>
      </c>
      <c r="AG69" s="112"/>
      <c r="AH69" s="121"/>
      <c r="AI69" s="122"/>
      <c r="AJ69" s="113">
        <f t="shared" si="48"/>
        <v>0</v>
      </c>
      <c r="AK69" s="81">
        <f t="shared" si="49"/>
        <v>0</v>
      </c>
      <c r="AL69" s="112"/>
      <c r="AM69" s="121"/>
      <c r="AN69" s="122"/>
      <c r="AO69" s="113">
        <f t="shared" si="50"/>
        <v>0</v>
      </c>
      <c r="AP69" s="81">
        <f t="shared" si="51"/>
        <v>0</v>
      </c>
      <c r="AQ69" s="112"/>
      <c r="AR69" s="121"/>
      <c r="AS69" s="122"/>
      <c r="AT69" s="113">
        <f t="shared" si="52"/>
        <v>0</v>
      </c>
      <c r="AU69" s="81">
        <f t="shared" si="53"/>
        <v>0</v>
      </c>
      <c r="AV69" s="112"/>
      <c r="AW69" s="121"/>
      <c r="AX69" s="122"/>
      <c r="AY69" s="113">
        <f t="shared" si="54"/>
        <v>0</v>
      </c>
      <c r="AZ69" s="81">
        <f t="shared" si="55"/>
        <v>0</v>
      </c>
      <c r="BA69" s="123"/>
      <c r="BB69" s="79">
        <f>AA69+AF69+AK69+AP69+AU69+AZ69</f>
        <v>0</v>
      </c>
      <c r="BC69" s="115">
        <f t="shared" si="59"/>
        <v>4.5</v>
      </c>
      <c r="BD69" s="81">
        <f t="shared" si="60"/>
        <v>4.5</v>
      </c>
      <c r="BE69" s="122"/>
    </row>
    <row r="70" spans="1:57" s="31" customFormat="1" ht="17.5" customHeight="1" thickBot="1" x14ac:dyDescent="0.4">
      <c r="A70" s="290"/>
      <c r="B70" s="307"/>
      <c r="C70" s="309"/>
      <c r="D70" s="311"/>
      <c r="E70" s="51" t="s">
        <v>83</v>
      </c>
      <c r="F70" s="51" t="s">
        <v>121</v>
      </c>
      <c r="G70" s="51">
        <v>10</v>
      </c>
      <c r="H70" s="51">
        <v>1</v>
      </c>
      <c r="I70" s="108">
        <f xml:space="preserve"> SUM(G70*H70)</f>
        <v>10</v>
      </c>
      <c r="J70" s="282"/>
      <c r="K70" s="265"/>
      <c r="L70" s="54">
        <v>9</v>
      </c>
      <c r="M70" s="268"/>
      <c r="N70" s="288"/>
      <c r="O70" s="54">
        <v>1</v>
      </c>
      <c r="P70" s="140" t="s">
        <v>122</v>
      </c>
      <c r="Q70" s="111">
        <v>0.83333333333333337</v>
      </c>
      <c r="R70" s="111">
        <v>0.33333333333333331</v>
      </c>
      <c r="S70" s="111"/>
      <c r="T70" s="111"/>
      <c r="U70" s="126"/>
      <c r="V70" s="132" t="s">
        <v>123</v>
      </c>
      <c r="W70" s="112"/>
      <c r="X70" s="121"/>
      <c r="Y70" s="122"/>
      <c r="Z70" s="113">
        <f>MOD(Y70-X70,1)*24</f>
        <v>0</v>
      </c>
      <c r="AA70" s="81">
        <f t="shared" si="45"/>
        <v>0</v>
      </c>
      <c r="AB70" s="112"/>
      <c r="AC70" s="121"/>
      <c r="AD70" s="121"/>
      <c r="AE70" s="113">
        <f>MOD(AD70-AC70,1)*24</f>
        <v>0</v>
      </c>
      <c r="AF70" s="81">
        <f t="shared" si="47"/>
        <v>0</v>
      </c>
      <c r="AG70" s="112"/>
      <c r="AH70" s="121"/>
      <c r="AI70" s="122"/>
      <c r="AJ70" s="113">
        <f>MOD(AI70-AH70,1)*24</f>
        <v>0</v>
      </c>
      <c r="AK70" s="81">
        <f t="shared" si="49"/>
        <v>0</v>
      </c>
      <c r="AL70" s="112"/>
      <c r="AM70" s="121"/>
      <c r="AN70" s="122"/>
      <c r="AO70" s="113">
        <f>MOD(AN70-AM70,1)*24</f>
        <v>0</v>
      </c>
      <c r="AP70" s="81">
        <f t="shared" si="51"/>
        <v>0</v>
      </c>
      <c r="AQ70" s="112"/>
      <c r="AR70" s="121"/>
      <c r="AS70" s="122"/>
      <c r="AT70" s="113">
        <f>MOD(AS70-AR70,1)*24</f>
        <v>0</v>
      </c>
      <c r="AU70" s="81">
        <f t="shared" si="53"/>
        <v>0</v>
      </c>
      <c r="AV70" s="112"/>
      <c r="AW70" s="121"/>
      <c r="AX70" s="122"/>
      <c r="AY70" s="113">
        <f>MOD(AX70-AW70,1)*24</f>
        <v>0</v>
      </c>
      <c r="AZ70" s="81">
        <f t="shared" si="55"/>
        <v>0</v>
      </c>
      <c r="BA70" s="123"/>
      <c r="BB70" s="79">
        <f t="shared" si="56"/>
        <v>0</v>
      </c>
      <c r="BC70" s="115">
        <f t="shared" si="59"/>
        <v>9</v>
      </c>
      <c r="BD70" s="81">
        <f t="shared" si="60"/>
        <v>9</v>
      </c>
      <c r="BE70" s="122"/>
    </row>
    <row r="71" spans="1:57" s="31" customFormat="1" ht="17.5" customHeight="1" thickBot="1" x14ac:dyDescent="0.4">
      <c r="A71" s="290"/>
      <c r="B71" s="307"/>
      <c r="C71" s="309"/>
      <c r="D71" s="311"/>
      <c r="E71" s="258" t="s">
        <v>60</v>
      </c>
      <c r="F71" s="259"/>
      <c r="G71" s="92"/>
      <c r="H71" s="141">
        <f>SUM(H64:H70)</f>
        <v>7</v>
      </c>
      <c r="I71" s="94">
        <f>SUM(I64:I70)</f>
        <v>46.5</v>
      </c>
      <c r="J71" s="296"/>
      <c r="K71" s="297"/>
      <c r="L71" s="95">
        <f>SUM(L64:L70)</f>
        <v>42.5</v>
      </c>
      <c r="M71" s="269"/>
      <c r="N71" s="288"/>
      <c r="O71" s="142"/>
      <c r="P71" s="198"/>
      <c r="Q71" s="68"/>
      <c r="R71" s="68"/>
      <c r="S71" s="68"/>
      <c r="T71" s="68"/>
      <c r="U71" s="211"/>
      <c r="V71" s="199"/>
      <c r="W71" s="200"/>
      <c r="X71" s="201"/>
      <c r="Y71" s="202"/>
      <c r="Z71" s="203"/>
      <c r="AA71" s="203"/>
      <c r="AB71" s="200"/>
      <c r="AC71" s="201"/>
      <c r="AD71" s="201"/>
      <c r="AE71" s="204"/>
      <c r="AF71" s="203"/>
      <c r="AG71" s="200"/>
      <c r="AH71" s="201"/>
      <c r="AI71" s="202"/>
      <c r="AJ71" s="203"/>
      <c r="AK71" s="203"/>
      <c r="AL71" s="200"/>
      <c r="AM71" s="201"/>
      <c r="AN71" s="202"/>
      <c r="AO71" s="203"/>
      <c r="AP71" s="203"/>
      <c r="AQ71" s="200"/>
      <c r="AR71" s="201"/>
      <c r="AS71" s="202"/>
      <c r="AT71" s="203"/>
      <c r="AU71" s="203"/>
      <c r="AV71" s="200"/>
      <c r="AW71" s="201"/>
      <c r="AX71" s="202"/>
      <c r="AY71" s="203"/>
      <c r="AZ71" s="203"/>
      <c r="BA71" s="204"/>
      <c r="BB71" s="207"/>
      <c r="BC71" s="197"/>
      <c r="BD71" s="228">
        <f>SUM(BD64:BD70)</f>
        <v>42.5</v>
      </c>
      <c r="BE71" s="202"/>
    </row>
    <row r="72" spans="1:57" s="31" customFormat="1" ht="17.5" customHeight="1" thickBot="1" x14ac:dyDescent="0.4">
      <c r="A72" s="290"/>
      <c r="B72" s="307"/>
      <c r="C72" s="309"/>
      <c r="D72" s="311"/>
      <c r="E72" s="51" t="s">
        <v>83</v>
      </c>
      <c r="F72" s="51" t="s">
        <v>121</v>
      </c>
      <c r="G72" s="51">
        <v>10</v>
      </c>
      <c r="H72" s="51">
        <v>1</v>
      </c>
      <c r="I72" s="143">
        <f xml:space="preserve"> SUM(G72*H72)</f>
        <v>10</v>
      </c>
      <c r="J72" s="298">
        <f>I73/8</f>
        <v>1.25</v>
      </c>
      <c r="K72" s="300" t="s">
        <v>125</v>
      </c>
      <c r="L72" s="54">
        <v>9</v>
      </c>
      <c r="M72" s="267">
        <f>L72/8</f>
        <v>1.125</v>
      </c>
      <c r="N72" s="288">
        <f>BD72/8</f>
        <v>1.125</v>
      </c>
      <c r="O72" s="54">
        <v>1</v>
      </c>
      <c r="P72" s="120"/>
      <c r="Q72" s="134"/>
      <c r="R72" s="134"/>
      <c r="S72" s="134"/>
      <c r="T72" s="134"/>
      <c r="U72" s="118"/>
      <c r="V72" s="132"/>
      <c r="W72" s="112"/>
      <c r="X72" s="121"/>
      <c r="Y72" s="122"/>
      <c r="Z72" s="113">
        <f>MOD(Y72-X72,1)*24</f>
        <v>0</v>
      </c>
      <c r="AA72" s="81">
        <f t="shared" si="45"/>
        <v>0</v>
      </c>
      <c r="AB72" s="112"/>
      <c r="AC72" s="121"/>
      <c r="AD72" s="121"/>
      <c r="AE72" s="113">
        <f>MOD(AD72-AC72,1)*24</f>
        <v>0</v>
      </c>
      <c r="AF72" s="81">
        <f t="shared" si="47"/>
        <v>0</v>
      </c>
      <c r="AG72" s="112"/>
      <c r="AH72" s="121"/>
      <c r="AI72" s="122"/>
      <c r="AJ72" s="113">
        <f>MOD(AI72-AH72,1)*24</f>
        <v>0</v>
      </c>
      <c r="AK72" s="81">
        <f t="shared" si="49"/>
        <v>0</v>
      </c>
      <c r="AL72" s="112"/>
      <c r="AM72" s="121"/>
      <c r="AN72" s="122"/>
      <c r="AO72" s="113">
        <f>MOD(AN72-AM72,1)*24</f>
        <v>0</v>
      </c>
      <c r="AP72" s="81">
        <f t="shared" si="51"/>
        <v>0</v>
      </c>
      <c r="AQ72" s="112"/>
      <c r="AR72" s="121"/>
      <c r="AS72" s="122"/>
      <c r="AT72" s="113">
        <f>MOD(AS72-AR72,1)*24</f>
        <v>0</v>
      </c>
      <c r="AU72" s="81">
        <f t="shared" si="53"/>
        <v>0</v>
      </c>
      <c r="AV72" s="112"/>
      <c r="AW72" s="121"/>
      <c r="AX72" s="122"/>
      <c r="AY72" s="113">
        <f>MOD(AX72-AW72,1)*24</f>
        <v>0</v>
      </c>
      <c r="AZ72" s="81">
        <f t="shared" si="55"/>
        <v>0</v>
      </c>
      <c r="BA72" s="123"/>
      <c r="BB72" s="79">
        <f t="shared" si="56"/>
        <v>0</v>
      </c>
      <c r="BC72" s="115">
        <f>IF(BB72&gt;0, BB72, IF(BB72=0, L72))</f>
        <v>9</v>
      </c>
      <c r="BD72" s="81">
        <f>IF(BA72=1, (BC72-L72), IF(BA72=0, BC72))</f>
        <v>9</v>
      </c>
      <c r="BE72" s="122"/>
    </row>
    <row r="73" spans="1:57" s="31" customFormat="1" ht="17.5" customHeight="1" x14ac:dyDescent="0.35">
      <c r="A73" s="291"/>
      <c r="B73" s="308"/>
      <c r="C73" s="309"/>
      <c r="D73" s="312"/>
      <c r="E73" s="258" t="s">
        <v>126</v>
      </c>
      <c r="F73" s="259"/>
      <c r="G73" s="92"/>
      <c r="H73" s="141">
        <v>1</v>
      </c>
      <c r="I73" s="145">
        <v>10</v>
      </c>
      <c r="J73" s="299"/>
      <c r="K73" s="301"/>
      <c r="L73" s="95">
        <f>SUM(L72)</f>
        <v>9</v>
      </c>
      <c r="M73" s="269"/>
      <c r="N73" s="288"/>
      <c r="O73" s="142"/>
      <c r="P73" s="198"/>
      <c r="Q73" s="68"/>
      <c r="R73" s="68"/>
      <c r="S73" s="68"/>
      <c r="T73" s="68"/>
      <c r="U73" s="209"/>
      <c r="V73" s="199"/>
      <c r="W73" s="200"/>
      <c r="X73" s="201"/>
      <c r="Y73" s="202"/>
      <c r="Z73" s="203"/>
      <c r="AA73" s="203"/>
      <c r="AB73" s="200"/>
      <c r="AC73" s="201"/>
      <c r="AD73" s="201"/>
      <c r="AE73" s="204"/>
      <c r="AF73" s="203"/>
      <c r="AG73" s="200"/>
      <c r="AH73" s="201"/>
      <c r="AI73" s="202"/>
      <c r="AJ73" s="203"/>
      <c r="AK73" s="203"/>
      <c r="AL73" s="200"/>
      <c r="AM73" s="201"/>
      <c r="AN73" s="202"/>
      <c r="AO73" s="203"/>
      <c r="AP73" s="203"/>
      <c r="AQ73" s="200"/>
      <c r="AR73" s="201"/>
      <c r="AS73" s="202"/>
      <c r="AT73" s="203"/>
      <c r="AU73" s="203"/>
      <c r="AV73" s="200"/>
      <c r="AW73" s="201"/>
      <c r="AX73" s="202"/>
      <c r="AY73" s="203"/>
      <c r="AZ73" s="203"/>
      <c r="BA73" s="204"/>
      <c r="BB73" s="205"/>
      <c r="BC73" s="214"/>
      <c r="BD73" s="228">
        <f>BD72</f>
        <v>9</v>
      </c>
      <c r="BE73" s="202"/>
    </row>
    <row r="74" spans="1:57" s="31" customFormat="1" ht="17.5" customHeight="1" thickBot="1" x14ac:dyDescent="0.4">
      <c r="A74" s="100"/>
      <c r="B74" s="101"/>
      <c r="C74" s="146"/>
      <c r="D74" s="102"/>
      <c r="E74" s="101"/>
      <c r="F74" s="101"/>
      <c r="G74" s="101"/>
      <c r="H74" s="101"/>
      <c r="I74" s="101"/>
      <c r="J74" s="146"/>
      <c r="K74" s="147"/>
      <c r="L74" s="104"/>
      <c r="M74" s="105"/>
      <c r="N74" s="105"/>
      <c r="O74" s="99"/>
      <c r="P74" s="198"/>
      <c r="Q74" s="87"/>
      <c r="R74" s="87"/>
      <c r="S74" s="68"/>
      <c r="T74" s="68"/>
      <c r="U74" s="176"/>
      <c r="V74" s="199"/>
      <c r="W74" s="200"/>
      <c r="X74" s="201"/>
      <c r="Y74" s="202"/>
      <c r="Z74" s="194"/>
      <c r="AA74" s="203"/>
      <c r="AB74" s="200"/>
      <c r="AC74" s="201"/>
      <c r="AD74" s="201"/>
      <c r="AE74" s="206"/>
      <c r="AF74" s="203"/>
      <c r="AG74" s="200"/>
      <c r="AH74" s="201"/>
      <c r="AI74" s="202"/>
      <c r="AJ74" s="194"/>
      <c r="AK74" s="203"/>
      <c r="AL74" s="200"/>
      <c r="AM74" s="201"/>
      <c r="AN74" s="202"/>
      <c r="AO74" s="194"/>
      <c r="AP74" s="203"/>
      <c r="AQ74" s="200"/>
      <c r="AR74" s="201"/>
      <c r="AS74" s="202"/>
      <c r="AT74" s="194"/>
      <c r="AU74" s="203"/>
      <c r="AV74" s="200"/>
      <c r="AW74" s="201"/>
      <c r="AX74" s="202"/>
      <c r="AY74" s="194"/>
      <c r="AZ74" s="203"/>
      <c r="BA74" s="206"/>
      <c r="BB74" s="207"/>
      <c r="BC74" s="194"/>
      <c r="BD74" s="208"/>
      <c r="BE74" s="202"/>
    </row>
    <row r="75" spans="1:57" s="31" customFormat="1" ht="17.5" customHeight="1" x14ac:dyDescent="0.35">
      <c r="A75" s="241">
        <v>4</v>
      </c>
      <c r="B75" s="242" t="s">
        <v>36</v>
      </c>
      <c r="C75" s="245" t="s">
        <v>127</v>
      </c>
      <c r="D75" s="241" t="s">
        <v>62</v>
      </c>
      <c r="E75" s="303">
        <v>0.29166666666666669</v>
      </c>
      <c r="F75" s="303">
        <v>0.625</v>
      </c>
      <c r="G75" s="249">
        <v>8</v>
      </c>
      <c r="H75" s="249">
        <v>3</v>
      </c>
      <c r="I75" s="256">
        <f xml:space="preserve"> SUM(G75*3)</f>
        <v>24</v>
      </c>
      <c r="J75" s="286">
        <f xml:space="preserve"> I84/8*2</f>
        <v>16.5</v>
      </c>
      <c r="K75" s="287" t="s">
        <v>128</v>
      </c>
      <c r="L75" s="54">
        <v>7</v>
      </c>
      <c r="M75" s="288">
        <f>L84/8</f>
        <v>7.375</v>
      </c>
      <c r="N75" s="288">
        <f>SUM(BD75:BD83)/8</f>
        <v>7.375</v>
      </c>
      <c r="O75" s="148">
        <v>1</v>
      </c>
      <c r="P75" s="82" t="s">
        <v>129</v>
      </c>
      <c r="Q75" s="26">
        <v>0.29166666666666669</v>
      </c>
      <c r="R75" s="26">
        <v>0.625</v>
      </c>
      <c r="S75" s="57"/>
      <c r="T75" s="57"/>
      <c r="U75" s="210"/>
      <c r="V75" s="69" t="s">
        <v>110</v>
      </c>
      <c r="W75" s="59"/>
      <c r="X75" s="83"/>
      <c r="Y75" s="65"/>
      <c r="Z75" s="29">
        <f t="shared" ref="Z75:Z81" si="61">(Y75-X75)*24</f>
        <v>0</v>
      </c>
      <c r="AA75" s="64">
        <f t="shared" ref="AA75:AA89" si="62">IF(Z75&gt;=6, (Z75-1), IF(Z75&lt;6, Z75))</f>
        <v>0</v>
      </c>
      <c r="AB75" s="59"/>
      <c r="AC75" s="83"/>
      <c r="AD75" s="83"/>
      <c r="AE75" s="62">
        <f t="shared" ref="AE75:AE81" si="63">(AD75-AC75)*24</f>
        <v>0</v>
      </c>
      <c r="AF75" s="64">
        <f t="shared" ref="AF75:AF89" si="64">IF(AE75&gt;=6, (AE75-1), IF(AE75&lt;6, AE75))</f>
        <v>0</v>
      </c>
      <c r="AG75" s="59"/>
      <c r="AH75" s="83"/>
      <c r="AI75" s="65"/>
      <c r="AJ75" s="29">
        <f t="shared" ref="AJ75:AJ81" si="65">(AI75-AH75)*24</f>
        <v>0</v>
      </c>
      <c r="AK75" s="64">
        <f t="shared" ref="AK75:AK89" si="66">IF(AJ75&gt;=6, (AJ75-1), IF(AJ75&lt;6, AJ75))</f>
        <v>0</v>
      </c>
      <c r="AL75" s="59"/>
      <c r="AM75" s="83"/>
      <c r="AN75" s="65"/>
      <c r="AO75" s="29">
        <f t="shared" ref="AO75:AO81" si="67">(AN75-AM75)*24</f>
        <v>0</v>
      </c>
      <c r="AP75" s="64">
        <f t="shared" ref="AP75:AP89" si="68">IF(AO75&gt;=6, (AO75-1), IF(AO75&lt;6, AO75))</f>
        <v>0</v>
      </c>
      <c r="AQ75" s="59"/>
      <c r="AR75" s="83"/>
      <c r="AS75" s="65"/>
      <c r="AT75" s="29">
        <f t="shared" ref="AT75:AT81" si="69">(AS75-AR75)*24</f>
        <v>0</v>
      </c>
      <c r="AU75" s="64">
        <f t="shared" ref="AU75:AU89" si="70">IF(AT75&gt;=6, (AT75-1), IF(AT75&lt;6, AT75))</f>
        <v>0</v>
      </c>
      <c r="AV75" s="59"/>
      <c r="AW75" s="83"/>
      <c r="AX75" s="65"/>
      <c r="AY75" s="29">
        <f t="shared" ref="AY75:AY81" si="71">(AX75-AW75)*24</f>
        <v>0</v>
      </c>
      <c r="AZ75" s="64">
        <f t="shared" ref="AZ75:AZ89" si="72">IF(AY75&gt;=6, (AY75-1), IF(AY75&lt;6, AY75))</f>
        <v>0</v>
      </c>
      <c r="BA75" s="62"/>
      <c r="BB75" s="63">
        <f t="shared" ref="BB75:BB83" si="73">AA75+AF75+AK75+AP75+AU75+AZ75</f>
        <v>0</v>
      </c>
      <c r="BC75" s="13">
        <f t="shared" ref="BC75:BC83" si="74">IF(BB75&gt;0, BB75, IF(BB75=0, L75))</f>
        <v>7</v>
      </c>
      <c r="BD75" s="64">
        <f t="shared" ref="BD75:BD83" si="75">IF(BA75=1, (BC75-L75), IF(BA75=0, BC75))</f>
        <v>7</v>
      </c>
      <c r="BE75" s="65"/>
    </row>
    <row r="76" spans="1:57" s="31" customFormat="1" ht="17.5" customHeight="1" x14ac:dyDescent="0.35">
      <c r="A76" s="241"/>
      <c r="B76" s="243"/>
      <c r="C76" s="245"/>
      <c r="D76" s="241"/>
      <c r="E76" s="304"/>
      <c r="F76" s="304"/>
      <c r="G76" s="250"/>
      <c r="H76" s="250"/>
      <c r="I76" s="257"/>
      <c r="J76" s="286"/>
      <c r="K76" s="287"/>
      <c r="L76" s="54">
        <v>7</v>
      </c>
      <c r="M76" s="288"/>
      <c r="N76" s="288"/>
      <c r="O76" s="149">
        <v>2</v>
      </c>
      <c r="P76" s="74" t="s">
        <v>130</v>
      </c>
      <c r="Q76" s="26">
        <v>0.29166666666666669</v>
      </c>
      <c r="R76" s="26">
        <v>0.625</v>
      </c>
      <c r="S76" s="26"/>
      <c r="T76" s="26"/>
      <c r="U76" s="118"/>
      <c r="V76" s="69" t="s">
        <v>110</v>
      </c>
      <c r="W76" s="70"/>
      <c r="X76" s="28"/>
      <c r="Y76" s="73"/>
      <c r="Z76" s="29">
        <f t="shared" si="61"/>
        <v>0</v>
      </c>
      <c r="AA76" s="64">
        <f t="shared" si="62"/>
        <v>0</v>
      </c>
      <c r="AB76" s="70"/>
      <c r="AC76" s="28"/>
      <c r="AD76" s="28"/>
      <c r="AE76" s="62">
        <f t="shared" si="63"/>
        <v>0</v>
      </c>
      <c r="AF76" s="64">
        <f t="shared" si="64"/>
        <v>0</v>
      </c>
      <c r="AG76" s="70"/>
      <c r="AH76" s="28"/>
      <c r="AI76" s="73"/>
      <c r="AJ76" s="29">
        <f t="shared" si="65"/>
        <v>0</v>
      </c>
      <c r="AK76" s="64">
        <f t="shared" si="66"/>
        <v>0</v>
      </c>
      <c r="AL76" s="70"/>
      <c r="AM76" s="28"/>
      <c r="AN76" s="73"/>
      <c r="AO76" s="29">
        <f t="shared" si="67"/>
        <v>0</v>
      </c>
      <c r="AP76" s="64">
        <f t="shared" si="68"/>
        <v>0</v>
      </c>
      <c r="AQ76" s="70"/>
      <c r="AR76" s="28"/>
      <c r="AS76" s="73"/>
      <c r="AT76" s="29">
        <f t="shared" si="69"/>
        <v>0</v>
      </c>
      <c r="AU76" s="64">
        <f t="shared" si="70"/>
        <v>0</v>
      </c>
      <c r="AV76" s="70"/>
      <c r="AW76" s="28"/>
      <c r="AX76" s="73"/>
      <c r="AY76" s="29">
        <f t="shared" si="71"/>
        <v>0</v>
      </c>
      <c r="AZ76" s="64">
        <f t="shared" si="72"/>
        <v>0</v>
      </c>
      <c r="BA76" s="62"/>
      <c r="BB76" s="63">
        <f t="shared" si="73"/>
        <v>0</v>
      </c>
      <c r="BC76" s="13">
        <f t="shared" si="74"/>
        <v>7</v>
      </c>
      <c r="BD76" s="64">
        <f t="shared" si="75"/>
        <v>7</v>
      </c>
      <c r="BE76" s="73"/>
    </row>
    <row r="77" spans="1:57" s="31" customFormat="1" ht="17.5" customHeight="1" thickBot="1" x14ac:dyDescent="0.4">
      <c r="A77" s="241"/>
      <c r="B77" s="243"/>
      <c r="C77" s="245"/>
      <c r="D77" s="241"/>
      <c r="E77" s="305"/>
      <c r="F77" s="305"/>
      <c r="G77" s="251"/>
      <c r="H77" s="251"/>
      <c r="I77" s="260"/>
      <c r="J77" s="286"/>
      <c r="K77" s="287"/>
      <c r="L77" s="54">
        <v>7</v>
      </c>
      <c r="M77" s="288"/>
      <c r="N77" s="288"/>
      <c r="O77" s="150">
        <v>3</v>
      </c>
      <c r="P77" s="98" t="s">
        <v>131</v>
      </c>
      <c r="Q77" s="26">
        <v>0.29166666666666669</v>
      </c>
      <c r="R77" s="26">
        <v>0.625</v>
      </c>
      <c r="S77" s="26"/>
      <c r="T77" s="26"/>
      <c r="U77" s="126"/>
      <c r="V77" s="69" t="s">
        <v>110</v>
      </c>
      <c r="W77" s="70"/>
      <c r="X77" s="28"/>
      <c r="Y77" s="73"/>
      <c r="Z77" s="77">
        <f t="shared" si="61"/>
        <v>0</v>
      </c>
      <c r="AA77" s="81">
        <f t="shared" si="62"/>
        <v>0</v>
      </c>
      <c r="AB77" s="70"/>
      <c r="AC77" s="28"/>
      <c r="AD77" s="28"/>
      <c r="AE77" s="78">
        <f t="shared" si="63"/>
        <v>0</v>
      </c>
      <c r="AF77" s="81">
        <f t="shared" si="64"/>
        <v>0</v>
      </c>
      <c r="AG77" s="70"/>
      <c r="AH77" s="28"/>
      <c r="AI77" s="73"/>
      <c r="AJ77" s="77">
        <f t="shared" si="65"/>
        <v>0</v>
      </c>
      <c r="AK77" s="81">
        <f t="shared" si="66"/>
        <v>0</v>
      </c>
      <c r="AL77" s="70"/>
      <c r="AM77" s="28"/>
      <c r="AN77" s="73"/>
      <c r="AO77" s="77">
        <f t="shared" si="67"/>
        <v>0</v>
      </c>
      <c r="AP77" s="81">
        <f t="shared" si="68"/>
        <v>0</v>
      </c>
      <c r="AQ77" s="70"/>
      <c r="AR77" s="28"/>
      <c r="AS77" s="73"/>
      <c r="AT77" s="77">
        <f t="shared" si="69"/>
        <v>0</v>
      </c>
      <c r="AU77" s="81">
        <f t="shared" si="70"/>
        <v>0</v>
      </c>
      <c r="AV77" s="70"/>
      <c r="AW77" s="28"/>
      <c r="AX77" s="73"/>
      <c r="AY77" s="77">
        <f t="shared" si="71"/>
        <v>0</v>
      </c>
      <c r="AZ77" s="81">
        <f t="shared" si="72"/>
        <v>0</v>
      </c>
      <c r="BA77" s="78"/>
      <c r="BB77" s="79">
        <f t="shared" si="73"/>
        <v>0</v>
      </c>
      <c r="BC77" s="80">
        <f t="shared" si="74"/>
        <v>7</v>
      </c>
      <c r="BD77" s="81">
        <f t="shared" si="75"/>
        <v>7</v>
      </c>
      <c r="BE77" s="73"/>
    </row>
    <row r="78" spans="1:57" s="31" customFormat="1" ht="17.5" customHeight="1" x14ac:dyDescent="0.35">
      <c r="A78" s="241"/>
      <c r="B78" s="243"/>
      <c r="C78" s="245"/>
      <c r="D78" s="241"/>
      <c r="E78" s="278" t="s">
        <v>81</v>
      </c>
      <c r="F78" s="278" t="s">
        <v>53</v>
      </c>
      <c r="G78" s="278">
        <v>8</v>
      </c>
      <c r="H78" s="278">
        <v>2</v>
      </c>
      <c r="I78" s="281">
        <f xml:space="preserve"> SUM(G78*H78)</f>
        <v>16</v>
      </c>
      <c r="J78" s="286"/>
      <c r="K78" s="287"/>
      <c r="L78" s="54">
        <v>7</v>
      </c>
      <c r="M78" s="288"/>
      <c r="N78" s="288"/>
      <c r="O78" s="148">
        <v>1</v>
      </c>
      <c r="P78" s="82" t="s">
        <v>132</v>
      </c>
      <c r="Q78" s="57">
        <v>0.375</v>
      </c>
      <c r="R78" s="57">
        <v>0.875</v>
      </c>
      <c r="S78" s="57"/>
      <c r="T78" s="57"/>
      <c r="U78" s="210"/>
      <c r="V78" s="58" t="s">
        <v>105</v>
      </c>
      <c r="W78" s="59"/>
      <c r="X78" s="83"/>
      <c r="Y78" s="65"/>
      <c r="Z78" s="29">
        <f t="shared" si="61"/>
        <v>0</v>
      </c>
      <c r="AA78" s="64">
        <f t="shared" si="62"/>
        <v>0</v>
      </c>
      <c r="AB78" s="59"/>
      <c r="AC78" s="83"/>
      <c r="AD78" s="83"/>
      <c r="AE78" s="62">
        <f t="shared" si="63"/>
        <v>0</v>
      </c>
      <c r="AF78" s="64">
        <f t="shared" si="64"/>
        <v>0</v>
      </c>
      <c r="AG78" s="59"/>
      <c r="AH78" s="83"/>
      <c r="AI78" s="65"/>
      <c r="AJ78" s="29">
        <f t="shared" si="65"/>
        <v>0</v>
      </c>
      <c r="AK78" s="64">
        <f t="shared" si="66"/>
        <v>0</v>
      </c>
      <c r="AL78" s="59"/>
      <c r="AM78" s="83"/>
      <c r="AN78" s="65"/>
      <c r="AO78" s="29">
        <f t="shared" si="67"/>
        <v>0</v>
      </c>
      <c r="AP78" s="64">
        <f t="shared" si="68"/>
        <v>0</v>
      </c>
      <c r="AQ78" s="59"/>
      <c r="AR78" s="83"/>
      <c r="AS78" s="65"/>
      <c r="AT78" s="29">
        <f t="shared" si="69"/>
        <v>0</v>
      </c>
      <c r="AU78" s="64">
        <f t="shared" si="70"/>
        <v>0</v>
      </c>
      <c r="AV78" s="59"/>
      <c r="AW78" s="83"/>
      <c r="AX78" s="65"/>
      <c r="AY78" s="29">
        <f t="shared" si="71"/>
        <v>0</v>
      </c>
      <c r="AZ78" s="64">
        <f t="shared" si="72"/>
        <v>0</v>
      </c>
      <c r="BA78" s="62"/>
      <c r="BB78" s="63">
        <f t="shared" si="73"/>
        <v>0</v>
      </c>
      <c r="BC78" s="13">
        <f t="shared" si="74"/>
        <v>7</v>
      </c>
      <c r="BD78" s="64">
        <f t="shared" si="75"/>
        <v>7</v>
      </c>
      <c r="BE78" s="65"/>
    </row>
    <row r="79" spans="1:57" s="31" customFormat="1" ht="17.5" customHeight="1" thickBot="1" x14ac:dyDescent="0.4">
      <c r="A79" s="241"/>
      <c r="B79" s="243"/>
      <c r="C79" s="245"/>
      <c r="D79" s="241"/>
      <c r="E79" s="280"/>
      <c r="F79" s="280"/>
      <c r="G79" s="280"/>
      <c r="H79" s="280"/>
      <c r="I79" s="283"/>
      <c r="J79" s="286"/>
      <c r="K79" s="287"/>
      <c r="L79" s="54">
        <v>7</v>
      </c>
      <c r="M79" s="288"/>
      <c r="N79" s="288"/>
      <c r="O79" s="150">
        <v>2</v>
      </c>
      <c r="P79" s="98" t="s">
        <v>133</v>
      </c>
      <c r="Q79" s="26">
        <v>0.375</v>
      </c>
      <c r="R79" s="26">
        <v>0.875</v>
      </c>
      <c r="S79" s="26"/>
      <c r="T79" s="26"/>
      <c r="U79" s="126"/>
      <c r="V79" s="69" t="s">
        <v>134</v>
      </c>
      <c r="W79" s="70"/>
      <c r="X79" s="28"/>
      <c r="Y79" s="73"/>
      <c r="Z79" s="77">
        <f t="shared" si="61"/>
        <v>0</v>
      </c>
      <c r="AA79" s="81">
        <f t="shared" si="62"/>
        <v>0</v>
      </c>
      <c r="AB79" s="70"/>
      <c r="AC79" s="28"/>
      <c r="AD79" s="28"/>
      <c r="AE79" s="78">
        <f t="shared" si="63"/>
        <v>0</v>
      </c>
      <c r="AF79" s="81">
        <f t="shared" si="64"/>
        <v>0</v>
      </c>
      <c r="AG79" s="70"/>
      <c r="AH79" s="28"/>
      <c r="AI79" s="73"/>
      <c r="AJ79" s="77">
        <f t="shared" si="65"/>
        <v>0</v>
      </c>
      <c r="AK79" s="81">
        <f t="shared" si="66"/>
        <v>0</v>
      </c>
      <c r="AL79" s="70"/>
      <c r="AM79" s="28"/>
      <c r="AN79" s="73"/>
      <c r="AO79" s="77">
        <f t="shared" si="67"/>
        <v>0</v>
      </c>
      <c r="AP79" s="81">
        <f t="shared" si="68"/>
        <v>0</v>
      </c>
      <c r="AQ79" s="70"/>
      <c r="AR79" s="28"/>
      <c r="AS79" s="73"/>
      <c r="AT79" s="77">
        <f t="shared" si="69"/>
        <v>0</v>
      </c>
      <c r="AU79" s="81">
        <f t="shared" si="70"/>
        <v>0</v>
      </c>
      <c r="AV79" s="70"/>
      <c r="AW79" s="28"/>
      <c r="AX79" s="73"/>
      <c r="AY79" s="77">
        <f t="shared" si="71"/>
        <v>0</v>
      </c>
      <c r="AZ79" s="81">
        <f t="shared" si="72"/>
        <v>0</v>
      </c>
      <c r="BA79" s="78"/>
      <c r="BB79" s="79">
        <f t="shared" si="73"/>
        <v>0</v>
      </c>
      <c r="BC79" s="80">
        <f t="shared" si="74"/>
        <v>7</v>
      </c>
      <c r="BD79" s="81">
        <f t="shared" si="75"/>
        <v>7</v>
      </c>
      <c r="BE79" s="73"/>
    </row>
    <row r="80" spans="1:57" s="31" customFormat="1" ht="17.5" customHeight="1" x14ac:dyDescent="0.35">
      <c r="A80" s="241"/>
      <c r="B80" s="243"/>
      <c r="C80" s="245"/>
      <c r="D80" s="241"/>
      <c r="E80" s="278" t="s">
        <v>52</v>
      </c>
      <c r="F80" s="278" t="s">
        <v>83</v>
      </c>
      <c r="G80" s="278">
        <v>8</v>
      </c>
      <c r="H80" s="278">
        <v>2</v>
      </c>
      <c r="I80" s="108">
        <f xml:space="preserve"> SUM(G80*H80)</f>
        <v>16</v>
      </c>
      <c r="J80" s="286"/>
      <c r="K80" s="287"/>
      <c r="L80" s="54">
        <v>7</v>
      </c>
      <c r="M80" s="288"/>
      <c r="N80" s="288"/>
      <c r="O80" s="148">
        <v>1</v>
      </c>
      <c r="P80" s="82" t="s">
        <v>135</v>
      </c>
      <c r="Q80" s="57">
        <v>0.54166666666666663</v>
      </c>
      <c r="R80" s="57">
        <v>0.875</v>
      </c>
      <c r="S80" s="57"/>
      <c r="T80" s="57"/>
      <c r="U80" s="210"/>
      <c r="V80" s="58" t="s">
        <v>136</v>
      </c>
      <c r="W80" s="59"/>
      <c r="X80" s="83"/>
      <c r="Y80" s="65"/>
      <c r="Z80" s="29">
        <f t="shared" si="61"/>
        <v>0</v>
      </c>
      <c r="AA80" s="64">
        <f t="shared" si="62"/>
        <v>0</v>
      </c>
      <c r="AB80" s="59"/>
      <c r="AC80" s="83"/>
      <c r="AD80" s="83"/>
      <c r="AE80" s="62">
        <f t="shared" si="63"/>
        <v>0</v>
      </c>
      <c r="AF80" s="64">
        <f t="shared" si="64"/>
        <v>0</v>
      </c>
      <c r="AG80" s="59"/>
      <c r="AH80" s="83"/>
      <c r="AI80" s="65"/>
      <c r="AJ80" s="29">
        <f t="shared" si="65"/>
        <v>0</v>
      </c>
      <c r="AK80" s="64">
        <f t="shared" si="66"/>
        <v>0</v>
      </c>
      <c r="AL80" s="59"/>
      <c r="AM80" s="83"/>
      <c r="AN80" s="65"/>
      <c r="AO80" s="29">
        <f t="shared" si="67"/>
        <v>0</v>
      </c>
      <c r="AP80" s="64">
        <f t="shared" si="68"/>
        <v>0</v>
      </c>
      <c r="AQ80" s="59"/>
      <c r="AR80" s="83"/>
      <c r="AS80" s="65"/>
      <c r="AT80" s="29">
        <f t="shared" si="69"/>
        <v>0</v>
      </c>
      <c r="AU80" s="64">
        <f t="shared" si="70"/>
        <v>0</v>
      </c>
      <c r="AV80" s="59"/>
      <c r="AW80" s="83"/>
      <c r="AX80" s="65"/>
      <c r="AY80" s="29">
        <f t="shared" si="71"/>
        <v>0</v>
      </c>
      <c r="AZ80" s="64">
        <f t="shared" si="72"/>
        <v>0</v>
      </c>
      <c r="BA80" s="62"/>
      <c r="BB80" s="63">
        <f t="shared" si="73"/>
        <v>0</v>
      </c>
      <c r="BC80" s="13">
        <f t="shared" si="74"/>
        <v>7</v>
      </c>
      <c r="BD80" s="64">
        <f t="shared" si="75"/>
        <v>7</v>
      </c>
      <c r="BE80" s="65"/>
    </row>
    <row r="81" spans="1:57" s="31" customFormat="1" ht="17.5" customHeight="1" thickBot="1" x14ac:dyDescent="0.4">
      <c r="A81" s="241"/>
      <c r="B81" s="243"/>
      <c r="C81" s="245"/>
      <c r="D81" s="241"/>
      <c r="E81" s="280"/>
      <c r="F81" s="280"/>
      <c r="G81" s="280"/>
      <c r="H81" s="280"/>
      <c r="I81" s="108"/>
      <c r="J81" s="286"/>
      <c r="K81" s="287"/>
      <c r="L81" s="54">
        <v>7</v>
      </c>
      <c r="M81" s="288"/>
      <c r="N81" s="288"/>
      <c r="O81" s="150">
        <v>2</v>
      </c>
      <c r="P81" s="98" t="s">
        <v>137</v>
      </c>
      <c r="Q81" s="86">
        <v>0.54166666666666663</v>
      </c>
      <c r="R81" s="86">
        <v>0.875</v>
      </c>
      <c r="S81" s="86"/>
      <c r="T81" s="86"/>
      <c r="U81" s="126"/>
      <c r="V81" s="88" t="s">
        <v>43</v>
      </c>
      <c r="W81" s="89"/>
      <c r="X81" s="90"/>
      <c r="Y81" s="91"/>
      <c r="Z81" s="77">
        <f t="shared" si="61"/>
        <v>0</v>
      </c>
      <c r="AA81" s="81">
        <f t="shared" si="62"/>
        <v>0</v>
      </c>
      <c r="AB81" s="89"/>
      <c r="AC81" s="90"/>
      <c r="AD81" s="90"/>
      <c r="AE81" s="78">
        <f t="shared" si="63"/>
        <v>0</v>
      </c>
      <c r="AF81" s="81">
        <f t="shared" si="64"/>
        <v>0</v>
      </c>
      <c r="AG81" s="89"/>
      <c r="AH81" s="90"/>
      <c r="AI81" s="91"/>
      <c r="AJ81" s="77">
        <f t="shared" si="65"/>
        <v>0</v>
      </c>
      <c r="AK81" s="81">
        <f t="shared" si="66"/>
        <v>0</v>
      </c>
      <c r="AL81" s="89"/>
      <c r="AM81" s="90"/>
      <c r="AN81" s="91"/>
      <c r="AO81" s="77">
        <f t="shared" si="67"/>
        <v>0</v>
      </c>
      <c r="AP81" s="81">
        <f t="shared" si="68"/>
        <v>0</v>
      </c>
      <c r="AQ81" s="89"/>
      <c r="AR81" s="90"/>
      <c r="AS81" s="91"/>
      <c r="AT81" s="77">
        <f t="shared" si="69"/>
        <v>0</v>
      </c>
      <c r="AU81" s="81">
        <f t="shared" si="70"/>
        <v>0</v>
      </c>
      <c r="AV81" s="89"/>
      <c r="AW81" s="90"/>
      <c r="AX81" s="91"/>
      <c r="AY81" s="77">
        <f t="shared" si="71"/>
        <v>0</v>
      </c>
      <c r="AZ81" s="81">
        <f t="shared" si="72"/>
        <v>0</v>
      </c>
      <c r="BA81" s="78"/>
      <c r="BB81" s="79">
        <f t="shared" si="73"/>
        <v>0</v>
      </c>
      <c r="BC81" s="80">
        <f t="shared" si="74"/>
        <v>7</v>
      </c>
      <c r="BD81" s="81">
        <f t="shared" si="75"/>
        <v>7</v>
      </c>
      <c r="BE81" s="91"/>
    </row>
    <row r="82" spans="1:57" s="31" customFormat="1" ht="17.5" customHeight="1" thickBot="1" x14ac:dyDescent="0.4">
      <c r="A82" s="241"/>
      <c r="B82" s="243"/>
      <c r="C82" s="245"/>
      <c r="D82" s="241"/>
      <c r="E82" s="106" t="s">
        <v>83</v>
      </c>
      <c r="F82" s="106" t="s">
        <v>121</v>
      </c>
      <c r="G82" s="51">
        <v>10</v>
      </c>
      <c r="H82" s="52">
        <v>1</v>
      </c>
      <c r="I82" s="108">
        <f xml:space="preserve"> SUM(G82*H82)</f>
        <v>10</v>
      </c>
      <c r="J82" s="286"/>
      <c r="K82" s="287"/>
      <c r="L82" s="54">
        <v>9</v>
      </c>
      <c r="M82" s="288"/>
      <c r="N82" s="288"/>
      <c r="O82" s="151">
        <v>1</v>
      </c>
      <c r="P82" s="120" t="s">
        <v>138</v>
      </c>
      <c r="Q82" s="86">
        <v>0.875</v>
      </c>
      <c r="R82" s="86">
        <v>0.29166666666666669</v>
      </c>
      <c r="S82" s="86"/>
      <c r="T82" s="86"/>
      <c r="U82" s="126"/>
      <c r="V82" s="88" t="s">
        <v>139</v>
      </c>
      <c r="W82" s="89"/>
      <c r="X82" s="90"/>
      <c r="Y82" s="91"/>
      <c r="Z82" s="113">
        <f>MOD(Y82-X82,1)*24</f>
        <v>0</v>
      </c>
      <c r="AA82" s="81">
        <f t="shared" si="62"/>
        <v>0</v>
      </c>
      <c r="AB82" s="89"/>
      <c r="AC82" s="90"/>
      <c r="AD82" s="90"/>
      <c r="AE82" s="113">
        <f>MOD(AD82-AC82,1)*24</f>
        <v>0</v>
      </c>
      <c r="AF82" s="81">
        <f t="shared" si="64"/>
        <v>0</v>
      </c>
      <c r="AG82" s="89"/>
      <c r="AH82" s="90"/>
      <c r="AI82" s="91"/>
      <c r="AJ82" s="113">
        <f>MOD(AI82-AH82,1)*24</f>
        <v>0</v>
      </c>
      <c r="AK82" s="81">
        <f t="shared" si="66"/>
        <v>0</v>
      </c>
      <c r="AL82" s="89"/>
      <c r="AM82" s="90"/>
      <c r="AN82" s="91"/>
      <c r="AO82" s="113">
        <f>MOD(AN82-AM82,1)*24</f>
        <v>0</v>
      </c>
      <c r="AP82" s="81">
        <f t="shared" si="68"/>
        <v>0</v>
      </c>
      <c r="AQ82" s="89"/>
      <c r="AR82" s="90"/>
      <c r="AS82" s="91"/>
      <c r="AT82" s="113">
        <f>MOD(AS82-AR82,1)*24</f>
        <v>0</v>
      </c>
      <c r="AU82" s="81">
        <f t="shared" si="70"/>
        <v>0</v>
      </c>
      <c r="AV82" s="89"/>
      <c r="AW82" s="90"/>
      <c r="AX82" s="91"/>
      <c r="AY82" s="113">
        <f>MOD(AX82-AW82,1)*24</f>
        <v>0</v>
      </c>
      <c r="AZ82" s="81">
        <f t="shared" si="72"/>
        <v>0</v>
      </c>
      <c r="BA82" s="78"/>
      <c r="BB82" s="79">
        <f t="shared" si="73"/>
        <v>0</v>
      </c>
      <c r="BC82" s="115">
        <f t="shared" si="74"/>
        <v>9</v>
      </c>
      <c r="BD82" s="81">
        <f t="shared" si="75"/>
        <v>9</v>
      </c>
      <c r="BE82" s="91"/>
    </row>
    <row r="83" spans="1:57" s="31" customFormat="1" ht="17.5" customHeight="1" thickBot="1" x14ac:dyDescent="0.4">
      <c r="A83" s="241"/>
      <c r="B83" s="243"/>
      <c r="C83" s="245"/>
      <c r="D83" s="302"/>
      <c r="E83" s="315" t="s">
        <v>140</v>
      </c>
      <c r="F83" s="316"/>
      <c r="G83" s="152"/>
      <c r="H83" s="52"/>
      <c r="I83" s="108"/>
      <c r="J83" s="286"/>
      <c r="K83" s="287"/>
      <c r="L83" s="54">
        <v>1</v>
      </c>
      <c r="M83" s="288"/>
      <c r="N83" s="288"/>
      <c r="O83" s="149"/>
      <c r="P83" s="74"/>
      <c r="Q83" s="26"/>
      <c r="R83" s="26"/>
      <c r="S83" s="26"/>
      <c r="T83" s="26"/>
      <c r="U83" s="126"/>
      <c r="V83" s="69"/>
      <c r="W83" s="70"/>
      <c r="X83" s="28"/>
      <c r="Y83" s="73"/>
      <c r="Z83" s="113">
        <f>MOD(Y83-X83,1)*24</f>
        <v>0</v>
      </c>
      <c r="AA83" s="81">
        <f t="shared" si="62"/>
        <v>0</v>
      </c>
      <c r="AB83" s="70"/>
      <c r="AC83" s="28"/>
      <c r="AD83" s="28"/>
      <c r="AE83" s="113">
        <f>MOD(AD83-AC83,1)*24</f>
        <v>0</v>
      </c>
      <c r="AF83" s="81">
        <f t="shared" si="64"/>
        <v>0</v>
      </c>
      <c r="AG83" s="70"/>
      <c r="AH83" s="28"/>
      <c r="AI83" s="73"/>
      <c r="AJ83" s="113">
        <f>MOD(AI83-AH83,1)*24</f>
        <v>0</v>
      </c>
      <c r="AK83" s="81">
        <f t="shared" si="66"/>
        <v>0</v>
      </c>
      <c r="AL83" s="70"/>
      <c r="AM83" s="28"/>
      <c r="AN83" s="73"/>
      <c r="AO83" s="113">
        <f>MOD(AN83-AM83,1)*24</f>
        <v>0</v>
      </c>
      <c r="AP83" s="81">
        <f t="shared" si="68"/>
        <v>0</v>
      </c>
      <c r="AQ83" s="70"/>
      <c r="AR83" s="28"/>
      <c r="AS83" s="73"/>
      <c r="AT83" s="113">
        <f>MOD(AS83-AR83,1)*24</f>
        <v>0</v>
      </c>
      <c r="AU83" s="81">
        <f t="shared" si="70"/>
        <v>0</v>
      </c>
      <c r="AV83" s="70"/>
      <c r="AW83" s="28"/>
      <c r="AX83" s="73"/>
      <c r="AY83" s="113">
        <f>MOD(AX83-AW83,1)*24</f>
        <v>0</v>
      </c>
      <c r="AZ83" s="81">
        <f t="shared" si="72"/>
        <v>0</v>
      </c>
      <c r="BA83" s="78"/>
      <c r="BB83" s="79">
        <f t="shared" si="73"/>
        <v>0</v>
      </c>
      <c r="BC83" s="115">
        <f t="shared" si="74"/>
        <v>1</v>
      </c>
      <c r="BD83" s="81">
        <f t="shared" si="75"/>
        <v>1</v>
      </c>
      <c r="BE83" s="73"/>
    </row>
    <row r="84" spans="1:57" s="31" customFormat="1" ht="17.5" customHeight="1" thickBot="1" x14ac:dyDescent="0.4">
      <c r="A84" s="241"/>
      <c r="B84" s="243"/>
      <c r="C84" s="245"/>
      <c r="D84" s="241"/>
      <c r="E84" s="313" t="s">
        <v>141</v>
      </c>
      <c r="F84" s="314"/>
      <c r="G84" s="92"/>
      <c r="H84" s="141">
        <v>8</v>
      </c>
      <c r="I84" s="94">
        <f>SUM(I75:I82)</f>
        <v>66</v>
      </c>
      <c r="J84" s="286"/>
      <c r="K84" s="287"/>
      <c r="L84" s="95">
        <f>SUM(L75:L83)</f>
        <v>59</v>
      </c>
      <c r="M84" s="288"/>
      <c r="N84" s="288"/>
      <c r="O84" s="153"/>
      <c r="P84" s="198"/>
      <c r="Q84" s="68"/>
      <c r="R84" s="68"/>
      <c r="S84" s="68"/>
      <c r="T84" s="68"/>
      <c r="U84" s="211"/>
      <c r="V84" s="215"/>
      <c r="W84" s="191"/>
      <c r="X84" s="192"/>
      <c r="Y84" s="193"/>
      <c r="Z84" s="203"/>
      <c r="AA84" s="203"/>
      <c r="AB84" s="191"/>
      <c r="AC84" s="192"/>
      <c r="AD84" s="192"/>
      <c r="AE84" s="195"/>
      <c r="AF84" s="203"/>
      <c r="AG84" s="200"/>
      <c r="AH84" s="201"/>
      <c r="AI84" s="202"/>
      <c r="AJ84" s="203"/>
      <c r="AK84" s="203"/>
      <c r="AL84" s="200"/>
      <c r="AM84" s="201"/>
      <c r="AN84" s="202"/>
      <c r="AO84" s="203"/>
      <c r="AP84" s="203"/>
      <c r="AQ84" s="200"/>
      <c r="AR84" s="201"/>
      <c r="AS84" s="202"/>
      <c r="AT84" s="203"/>
      <c r="AU84" s="203"/>
      <c r="AV84" s="200"/>
      <c r="AW84" s="201"/>
      <c r="AX84" s="202"/>
      <c r="AY84" s="203"/>
      <c r="AZ84" s="203"/>
      <c r="BA84" s="206"/>
      <c r="BB84" s="207"/>
      <c r="BC84" s="197"/>
      <c r="BD84" s="228">
        <f>SUM(BD75:BD83)</f>
        <v>59</v>
      </c>
      <c r="BE84" s="202"/>
    </row>
    <row r="85" spans="1:57" s="31" customFormat="1" ht="17.5" customHeight="1" thickBot="1" x14ac:dyDescent="0.4">
      <c r="A85" s="241"/>
      <c r="B85" s="243"/>
      <c r="C85" s="245"/>
      <c r="D85" s="241"/>
      <c r="E85" s="131">
        <v>0.29166666666666669</v>
      </c>
      <c r="F85" s="131">
        <v>0.625</v>
      </c>
      <c r="G85" s="51">
        <v>8</v>
      </c>
      <c r="H85" s="51">
        <v>1</v>
      </c>
      <c r="I85" s="108">
        <f xml:space="preserve"> SUM(G85*H85)</f>
        <v>8</v>
      </c>
      <c r="J85" s="286">
        <f xml:space="preserve"> I90/8</f>
        <v>4.25</v>
      </c>
      <c r="K85" s="287" t="s">
        <v>142</v>
      </c>
      <c r="L85" s="54">
        <v>7</v>
      </c>
      <c r="M85" s="288">
        <f>L90/8</f>
        <v>3.875</v>
      </c>
      <c r="N85" s="288">
        <f>SUM(BD85:BD89)/8</f>
        <v>3.875</v>
      </c>
      <c r="O85" s="151">
        <v>1</v>
      </c>
      <c r="P85" s="120"/>
      <c r="Q85" s="111"/>
      <c r="R85" s="111"/>
      <c r="S85" s="111"/>
      <c r="T85" s="111"/>
      <c r="U85" s="126"/>
      <c r="V85" s="132"/>
      <c r="W85" s="112"/>
      <c r="X85" s="121"/>
      <c r="Y85" s="122"/>
      <c r="Z85" s="113">
        <f t="shared" ref="Z85:Z87" si="76">(Y85-X85)*24</f>
        <v>0</v>
      </c>
      <c r="AA85" s="81">
        <f t="shared" si="62"/>
        <v>0</v>
      </c>
      <c r="AB85" s="112"/>
      <c r="AC85" s="121"/>
      <c r="AD85" s="121"/>
      <c r="AE85" s="123">
        <f t="shared" ref="AE85:AE87" si="77">(AD85-AC85)*24</f>
        <v>0</v>
      </c>
      <c r="AF85" s="81">
        <f t="shared" si="64"/>
        <v>0</v>
      </c>
      <c r="AG85" s="112"/>
      <c r="AH85" s="121"/>
      <c r="AI85" s="122"/>
      <c r="AJ85" s="113">
        <f t="shared" ref="AJ85:AJ87" si="78">(AI85-AH85)*24</f>
        <v>0</v>
      </c>
      <c r="AK85" s="81">
        <f t="shared" si="66"/>
        <v>0</v>
      </c>
      <c r="AL85" s="112"/>
      <c r="AM85" s="121"/>
      <c r="AN85" s="122"/>
      <c r="AO85" s="113">
        <f t="shared" ref="AO85:AO87" si="79">(AN85-AM85)*24</f>
        <v>0</v>
      </c>
      <c r="AP85" s="81">
        <f t="shared" si="68"/>
        <v>0</v>
      </c>
      <c r="AQ85" s="112"/>
      <c r="AR85" s="121"/>
      <c r="AS85" s="122"/>
      <c r="AT85" s="113">
        <f t="shared" ref="AT85:AT87" si="80">(AS85-AR85)*24</f>
        <v>0</v>
      </c>
      <c r="AU85" s="81">
        <f t="shared" si="70"/>
        <v>0</v>
      </c>
      <c r="AV85" s="112"/>
      <c r="AW85" s="121"/>
      <c r="AX85" s="122"/>
      <c r="AY85" s="113">
        <f t="shared" ref="AY85:AY87" si="81">(AX85-AW85)*24</f>
        <v>0</v>
      </c>
      <c r="AZ85" s="81">
        <f t="shared" si="72"/>
        <v>0</v>
      </c>
      <c r="BA85" s="78"/>
      <c r="BB85" s="79">
        <f>AA85+AF85+AK85+AP85+AU85+AZ85</f>
        <v>0</v>
      </c>
      <c r="BC85" s="115">
        <f>IF(BB85&gt;0, BB85, IF(BB85=0, L85))</f>
        <v>7</v>
      </c>
      <c r="BD85" s="81">
        <f>IF(BA85=1, (BC85-L85), IF(BA85=0, BC85))</f>
        <v>7</v>
      </c>
      <c r="BE85" s="122"/>
    </row>
    <row r="86" spans="1:57" s="31" customFormat="1" ht="17.5" customHeight="1" thickBot="1" x14ac:dyDescent="0.4">
      <c r="A86" s="241"/>
      <c r="B86" s="243"/>
      <c r="C86" s="245"/>
      <c r="D86" s="241"/>
      <c r="E86" s="51" t="s">
        <v>81</v>
      </c>
      <c r="F86" s="51" t="s">
        <v>53</v>
      </c>
      <c r="G86" s="51">
        <v>8</v>
      </c>
      <c r="H86" s="51">
        <v>1</v>
      </c>
      <c r="I86" s="108">
        <f xml:space="preserve"> SUM(G86*H86)</f>
        <v>8</v>
      </c>
      <c r="J86" s="286"/>
      <c r="K86" s="287"/>
      <c r="L86" s="54">
        <v>7</v>
      </c>
      <c r="M86" s="288"/>
      <c r="N86" s="288"/>
      <c r="O86" s="151">
        <v>1</v>
      </c>
      <c r="P86" s="120"/>
      <c r="Q86" s="111"/>
      <c r="R86" s="111"/>
      <c r="S86" s="111"/>
      <c r="T86" s="111"/>
      <c r="U86" s="126"/>
      <c r="V86" s="132"/>
      <c r="W86" s="112"/>
      <c r="X86" s="121"/>
      <c r="Y86" s="122"/>
      <c r="Z86" s="113">
        <f t="shared" si="76"/>
        <v>0</v>
      </c>
      <c r="AA86" s="81">
        <f t="shared" si="62"/>
        <v>0</v>
      </c>
      <c r="AB86" s="112"/>
      <c r="AC86" s="121"/>
      <c r="AD86" s="121"/>
      <c r="AE86" s="123">
        <f t="shared" si="77"/>
        <v>0</v>
      </c>
      <c r="AF86" s="81">
        <f t="shared" si="64"/>
        <v>0</v>
      </c>
      <c r="AG86" s="112"/>
      <c r="AH86" s="121"/>
      <c r="AI86" s="122"/>
      <c r="AJ86" s="113">
        <f t="shared" si="78"/>
        <v>0</v>
      </c>
      <c r="AK86" s="81">
        <f t="shared" si="66"/>
        <v>0</v>
      </c>
      <c r="AL86" s="112"/>
      <c r="AM86" s="121"/>
      <c r="AN86" s="122"/>
      <c r="AO86" s="113">
        <f t="shared" si="79"/>
        <v>0</v>
      </c>
      <c r="AP86" s="81">
        <f t="shared" si="68"/>
        <v>0</v>
      </c>
      <c r="AQ86" s="112"/>
      <c r="AR86" s="121"/>
      <c r="AS86" s="122"/>
      <c r="AT86" s="113">
        <f t="shared" si="80"/>
        <v>0</v>
      </c>
      <c r="AU86" s="81">
        <f t="shared" si="70"/>
        <v>0</v>
      </c>
      <c r="AV86" s="112"/>
      <c r="AW86" s="121"/>
      <c r="AX86" s="122"/>
      <c r="AY86" s="113">
        <f t="shared" si="81"/>
        <v>0</v>
      </c>
      <c r="AZ86" s="81">
        <f t="shared" si="72"/>
        <v>0</v>
      </c>
      <c r="BA86" s="123"/>
      <c r="BB86" s="79">
        <f>AA86+AF86+AK86+AP86+AU86+AZ86</f>
        <v>0</v>
      </c>
      <c r="BC86" s="115">
        <f>IF(BB86&gt;0, BB86, IF(BB86=0, L86))</f>
        <v>7</v>
      </c>
      <c r="BD86" s="81">
        <f>IF(BA86=1, (BC86-L86), IF(BA86=0, BC86))</f>
        <v>7</v>
      </c>
      <c r="BE86" s="122"/>
    </row>
    <row r="87" spans="1:57" s="31" customFormat="1" ht="17.5" customHeight="1" thickBot="1" x14ac:dyDescent="0.4">
      <c r="A87" s="241"/>
      <c r="B87" s="243"/>
      <c r="C87" s="245"/>
      <c r="D87" s="241"/>
      <c r="E87" s="51" t="s">
        <v>52</v>
      </c>
      <c r="F87" s="51" t="s">
        <v>83</v>
      </c>
      <c r="G87" s="51">
        <v>8</v>
      </c>
      <c r="H87" s="51">
        <v>1</v>
      </c>
      <c r="I87" s="108">
        <f xml:space="preserve"> SUM(G87*H87)</f>
        <v>8</v>
      </c>
      <c r="J87" s="286"/>
      <c r="K87" s="287"/>
      <c r="L87" s="54">
        <v>7</v>
      </c>
      <c r="M87" s="288"/>
      <c r="N87" s="288"/>
      <c r="O87" s="151">
        <v>1</v>
      </c>
      <c r="P87" s="120"/>
      <c r="Q87" s="111"/>
      <c r="R87" s="111"/>
      <c r="S87" s="111"/>
      <c r="T87" s="111"/>
      <c r="U87" s="126"/>
      <c r="V87" s="132"/>
      <c r="W87" s="112"/>
      <c r="X87" s="121"/>
      <c r="Y87" s="122"/>
      <c r="Z87" s="113">
        <f t="shared" si="76"/>
        <v>0</v>
      </c>
      <c r="AA87" s="81">
        <f t="shared" si="62"/>
        <v>0</v>
      </c>
      <c r="AB87" s="112"/>
      <c r="AC87" s="121"/>
      <c r="AD87" s="121"/>
      <c r="AE87" s="123">
        <f t="shared" si="77"/>
        <v>0</v>
      </c>
      <c r="AF87" s="81">
        <f t="shared" si="64"/>
        <v>0</v>
      </c>
      <c r="AG87" s="112"/>
      <c r="AH87" s="121"/>
      <c r="AI87" s="122"/>
      <c r="AJ87" s="113">
        <f t="shared" si="78"/>
        <v>0</v>
      </c>
      <c r="AK87" s="81">
        <f t="shared" si="66"/>
        <v>0</v>
      </c>
      <c r="AL87" s="112"/>
      <c r="AM87" s="121"/>
      <c r="AN87" s="122"/>
      <c r="AO87" s="113">
        <f t="shared" si="79"/>
        <v>0</v>
      </c>
      <c r="AP87" s="81">
        <f t="shared" si="68"/>
        <v>0</v>
      </c>
      <c r="AQ87" s="112"/>
      <c r="AR87" s="121"/>
      <c r="AS87" s="122"/>
      <c r="AT87" s="113">
        <f t="shared" si="80"/>
        <v>0</v>
      </c>
      <c r="AU87" s="81">
        <f t="shared" si="70"/>
        <v>0</v>
      </c>
      <c r="AV87" s="112"/>
      <c r="AW87" s="121"/>
      <c r="AX87" s="122"/>
      <c r="AY87" s="113">
        <f t="shared" si="81"/>
        <v>0</v>
      </c>
      <c r="AZ87" s="81">
        <f t="shared" si="72"/>
        <v>0</v>
      </c>
      <c r="BA87" s="123"/>
      <c r="BB87" s="79">
        <f>AA87+AF87+AK87+AP87+AU87+AZ87</f>
        <v>0</v>
      </c>
      <c r="BC87" s="115">
        <f>IF(BB87&gt;0, BB87, IF(BB87=0, L87))</f>
        <v>7</v>
      </c>
      <c r="BD87" s="81">
        <f>IF(BA87=1, (BC87-L87), IF(BA87=0, BC87))</f>
        <v>7</v>
      </c>
      <c r="BE87" s="122"/>
    </row>
    <row r="88" spans="1:57" s="31" customFormat="1" ht="17.5" customHeight="1" thickBot="1" x14ac:dyDescent="0.4">
      <c r="A88" s="241"/>
      <c r="B88" s="243"/>
      <c r="C88" s="245"/>
      <c r="D88" s="241"/>
      <c r="E88" s="106" t="s">
        <v>83</v>
      </c>
      <c r="F88" s="106" t="s">
        <v>121</v>
      </c>
      <c r="G88" s="51">
        <v>10</v>
      </c>
      <c r="H88" s="51">
        <v>1</v>
      </c>
      <c r="I88" s="108">
        <f xml:space="preserve"> SUM(G88*H88)</f>
        <v>10</v>
      </c>
      <c r="J88" s="286"/>
      <c r="K88" s="287"/>
      <c r="L88" s="54">
        <v>9</v>
      </c>
      <c r="M88" s="288"/>
      <c r="N88" s="288"/>
      <c r="O88" s="151">
        <v>1</v>
      </c>
      <c r="P88" s="120" t="s">
        <v>138</v>
      </c>
      <c r="Q88" s="111">
        <v>0.875</v>
      </c>
      <c r="R88" s="111">
        <v>0.29166666666666669</v>
      </c>
      <c r="S88" s="111"/>
      <c r="T88" s="111"/>
      <c r="U88" s="126"/>
      <c r="V88" s="132" t="s">
        <v>139</v>
      </c>
      <c r="W88" s="112"/>
      <c r="X88" s="121"/>
      <c r="Y88" s="122"/>
      <c r="Z88" s="113">
        <f>MOD(Y88-X88,1)*24</f>
        <v>0</v>
      </c>
      <c r="AA88" s="81">
        <f t="shared" si="62"/>
        <v>0</v>
      </c>
      <c r="AB88" s="112"/>
      <c r="AC88" s="121"/>
      <c r="AD88" s="121"/>
      <c r="AE88" s="113">
        <f>MOD(AD88-AC88,1)*24</f>
        <v>0</v>
      </c>
      <c r="AF88" s="81">
        <f t="shared" si="64"/>
        <v>0</v>
      </c>
      <c r="AG88" s="112"/>
      <c r="AH88" s="121"/>
      <c r="AI88" s="122"/>
      <c r="AJ88" s="113">
        <f>MOD(AI88-AH88,1)*24</f>
        <v>0</v>
      </c>
      <c r="AK88" s="81">
        <f t="shared" si="66"/>
        <v>0</v>
      </c>
      <c r="AL88" s="112"/>
      <c r="AM88" s="121"/>
      <c r="AN88" s="122"/>
      <c r="AO88" s="113">
        <f>MOD(AN88-AM88,1)*24</f>
        <v>0</v>
      </c>
      <c r="AP88" s="81">
        <f t="shared" si="68"/>
        <v>0</v>
      </c>
      <c r="AQ88" s="112"/>
      <c r="AR88" s="121"/>
      <c r="AS88" s="122"/>
      <c r="AT88" s="113">
        <f>MOD(AS88-AR88,1)*24</f>
        <v>0</v>
      </c>
      <c r="AU88" s="81">
        <f t="shared" si="70"/>
        <v>0</v>
      </c>
      <c r="AV88" s="112"/>
      <c r="AW88" s="121"/>
      <c r="AX88" s="122"/>
      <c r="AY88" s="113">
        <f>MOD(AX88-AW88,1)*24</f>
        <v>0</v>
      </c>
      <c r="AZ88" s="81">
        <f t="shared" si="72"/>
        <v>0</v>
      </c>
      <c r="BA88" s="123"/>
      <c r="BB88" s="79">
        <f>AA88+AF88+AK88+AP88+AU88+AZ88</f>
        <v>0</v>
      </c>
      <c r="BC88" s="115">
        <f>IF(BB88&gt;0, BB88, IF(BB88=0, L88))</f>
        <v>9</v>
      </c>
      <c r="BD88" s="81">
        <f>IF(BA88=1, (BC88-L88), IF(BA88=0, BC88))</f>
        <v>9</v>
      </c>
      <c r="BE88" s="122"/>
    </row>
    <row r="89" spans="1:57" s="31" customFormat="1" ht="17.5" customHeight="1" thickBot="1" x14ac:dyDescent="0.4">
      <c r="A89" s="241"/>
      <c r="B89" s="243"/>
      <c r="C89" s="245"/>
      <c r="D89" s="302"/>
      <c r="E89" s="315" t="s">
        <v>140</v>
      </c>
      <c r="F89" s="316"/>
      <c r="G89" s="152"/>
      <c r="H89" s="51"/>
      <c r="I89" s="108"/>
      <c r="J89" s="286"/>
      <c r="K89" s="287"/>
      <c r="L89" s="54">
        <v>1</v>
      </c>
      <c r="M89" s="288"/>
      <c r="N89" s="288"/>
      <c r="O89" s="149"/>
      <c r="P89" s="74"/>
      <c r="Q89" s="26"/>
      <c r="R89" s="26"/>
      <c r="S89" s="26"/>
      <c r="T89" s="26"/>
      <c r="U89" s="126"/>
      <c r="V89" s="212"/>
      <c r="W89" s="70"/>
      <c r="X89" s="28"/>
      <c r="Y89" s="73"/>
      <c r="Z89" s="113">
        <f>MOD(Y89-X89,1)*24</f>
        <v>0</v>
      </c>
      <c r="AA89" s="81">
        <f t="shared" si="62"/>
        <v>0</v>
      </c>
      <c r="AB89" s="70"/>
      <c r="AC89" s="28"/>
      <c r="AD89" s="28"/>
      <c r="AE89" s="113">
        <f>MOD(AD89-AC89,1)*24</f>
        <v>0</v>
      </c>
      <c r="AF89" s="81">
        <f t="shared" si="64"/>
        <v>0</v>
      </c>
      <c r="AG89" s="70"/>
      <c r="AH89" s="28"/>
      <c r="AI89" s="73"/>
      <c r="AJ89" s="113">
        <f>MOD(AI89-AH89,1)*24</f>
        <v>0</v>
      </c>
      <c r="AK89" s="81">
        <f t="shared" si="66"/>
        <v>0</v>
      </c>
      <c r="AL89" s="70"/>
      <c r="AM89" s="28"/>
      <c r="AN89" s="73"/>
      <c r="AO89" s="113">
        <f>MOD(AN89-AM89,1)*24</f>
        <v>0</v>
      </c>
      <c r="AP89" s="81">
        <f t="shared" si="68"/>
        <v>0</v>
      </c>
      <c r="AQ89" s="70"/>
      <c r="AR89" s="28"/>
      <c r="AS89" s="73"/>
      <c r="AT89" s="113">
        <f>MOD(AS89-AR89,1)*24</f>
        <v>0</v>
      </c>
      <c r="AU89" s="81">
        <f t="shared" si="70"/>
        <v>0</v>
      </c>
      <c r="AV89" s="70"/>
      <c r="AW89" s="28"/>
      <c r="AX89" s="73"/>
      <c r="AY89" s="113">
        <f>MOD(AX89-AW89,1)*24</f>
        <v>0</v>
      </c>
      <c r="AZ89" s="81">
        <f t="shared" si="72"/>
        <v>0</v>
      </c>
      <c r="BA89" s="62"/>
      <c r="BB89" s="79">
        <f>AA89+AF89+AK89+AP89+AU89+AZ89</f>
        <v>0</v>
      </c>
      <c r="BC89" s="115">
        <f>IF(BB89&gt;0, BB89, IF(BB89=0, L89))</f>
        <v>1</v>
      </c>
      <c r="BD89" s="81">
        <f>IF(BA89=1, (BC89-L89), IF(BA89=0, BC89))</f>
        <v>1</v>
      </c>
      <c r="BE89" s="73"/>
    </row>
    <row r="90" spans="1:57" s="31" customFormat="1" ht="17.5" customHeight="1" x14ac:dyDescent="0.35">
      <c r="A90" s="241"/>
      <c r="B90" s="244"/>
      <c r="C90" s="245"/>
      <c r="D90" s="241"/>
      <c r="E90" s="313" t="s">
        <v>143</v>
      </c>
      <c r="F90" s="314"/>
      <c r="G90" s="92"/>
      <c r="H90" s="141">
        <f>SUM(H85:H88)</f>
        <v>4</v>
      </c>
      <c r="I90" s="94">
        <f>SUM(I85:I88)</f>
        <v>34</v>
      </c>
      <c r="J90" s="286"/>
      <c r="K90" s="287"/>
      <c r="L90" s="95">
        <f>SUM(L85:L89)</f>
        <v>31</v>
      </c>
      <c r="M90" s="288"/>
      <c r="N90" s="288"/>
      <c r="O90" s="153"/>
      <c r="P90" s="198"/>
      <c r="Q90" s="68"/>
      <c r="R90" s="68"/>
      <c r="S90" s="68"/>
      <c r="T90" s="68"/>
      <c r="U90" s="211"/>
      <c r="V90" s="199"/>
      <c r="W90" s="216"/>
      <c r="X90" s="217"/>
      <c r="Y90" s="218"/>
      <c r="Z90" s="203"/>
      <c r="AA90" s="203"/>
      <c r="AB90" s="216"/>
      <c r="AC90" s="217"/>
      <c r="AD90" s="217"/>
      <c r="AE90" s="230"/>
      <c r="AF90" s="203"/>
      <c r="AG90" s="200"/>
      <c r="AH90" s="201"/>
      <c r="AI90" s="202"/>
      <c r="AJ90" s="203"/>
      <c r="AK90" s="203"/>
      <c r="AL90" s="200"/>
      <c r="AM90" s="201"/>
      <c r="AN90" s="202"/>
      <c r="AO90" s="203"/>
      <c r="AP90" s="203"/>
      <c r="AQ90" s="200"/>
      <c r="AR90" s="201"/>
      <c r="AS90" s="202"/>
      <c r="AT90" s="203"/>
      <c r="AU90" s="203"/>
      <c r="AV90" s="200"/>
      <c r="AW90" s="201"/>
      <c r="AX90" s="202"/>
      <c r="AY90" s="203"/>
      <c r="AZ90" s="203"/>
      <c r="BA90" s="204"/>
      <c r="BB90" s="205"/>
      <c r="BC90" s="203"/>
      <c r="BD90" s="228">
        <f>SUM(BD85:BD89)</f>
        <v>31</v>
      </c>
      <c r="BE90" s="202"/>
    </row>
    <row r="91" spans="1:57" s="31" customFormat="1" ht="17.5" customHeight="1" thickBot="1" x14ac:dyDescent="0.4">
      <c r="A91" s="100"/>
      <c r="B91" s="101"/>
      <c r="C91" s="102"/>
      <c r="D91" s="102"/>
      <c r="E91" s="101"/>
      <c r="F91" s="101"/>
      <c r="G91" s="101"/>
      <c r="H91" s="101"/>
      <c r="I91" s="101"/>
      <c r="J91" s="102"/>
      <c r="K91" s="103"/>
      <c r="L91" s="104"/>
      <c r="M91" s="105"/>
      <c r="N91" s="105"/>
      <c r="O91" s="99"/>
      <c r="P91" s="198"/>
      <c r="Q91" s="68"/>
      <c r="R91" s="68"/>
      <c r="S91" s="68"/>
      <c r="T91" s="68"/>
      <c r="U91" s="176"/>
      <c r="V91" s="199"/>
      <c r="W91" s="219"/>
      <c r="X91" s="220"/>
      <c r="Y91" s="221"/>
      <c r="Z91" s="203"/>
      <c r="AA91" s="203"/>
      <c r="AB91" s="219"/>
      <c r="AC91" s="220"/>
      <c r="AD91" s="220"/>
      <c r="AE91" s="206"/>
      <c r="AF91" s="203"/>
      <c r="AG91" s="200"/>
      <c r="AH91" s="201"/>
      <c r="AI91" s="202"/>
      <c r="AJ91" s="203"/>
      <c r="AK91" s="203"/>
      <c r="AL91" s="200"/>
      <c r="AM91" s="201"/>
      <c r="AN91" s="202"/>
      <c r="AO91" s="203"/>
      <c r="AP91" s="203"/>
      <c r="AQ91" s="200"/>
      <c r="AR91" s="201"/>
      <c r="AS91" s="202"/>
      <c r="AT91" s="203"/>
      <c r="AU91" s="203"/>
      <c r="AV91" s="200"/>
      <c r="AW91" s="201"/>
      <c r="AX91" s="202"/>
      <c r="AY91" s="203"/>
      <c r="AZ91" s="203"/>
      <c r="BA91" s="206"/>
      <c r="BB91" s="207"/>
      <c r="BC91" s="194"/>
      <c r="BD91" s="208"/>
      <c r="BE91" s="202"/>
    </row>
    <row r="92" spans="1:57" s="31" customFormat="1" ht="17.5" customHeight="1" thickBot="1" x14ac:dyDescent="0.4">
      <c r="A92" s="241">
        <v>5</v>
      </c>
      <c r="B92" s="242" t="s">
        <v>36</v>
      </c>
      <c r="C92" s="245" t="s">
        <v>144</v>
      </c>
      <c r="D92" s="241" t="s">
        <v>62</v>
      </c>
      <c r="E92" s="51" t="s">
        <v>96</v>
      </c>
      <c r="F92" s="51" t="s">
        <v>58</v>
      </c>
      <c r="G92" s="51">
        <v>9.5</v>
      </c>
      <c r="H92" s="51">
        <v>1</v>
      </c>
      <c r="I92" s="108">
        <f xml:space="preserve"> SUM(G92*H92)</f>
        <v>9.5</v>
      </c>
      <c r="J92" s="295">
        <f xml:space="preserve"> I107/8</f>
        <v>10.875</v>
      </c>
      <c r="K92" s="287" t="s">
        <v>41</v>
      </c>
      <c r="L92" s="54">
        <v>8.5</v>
      </c>
      <c r="M92" s="288">
        <f>L107/8</f>
        <v>9.875</v>
      </c>
      <c r="N92" s="288">
        <f>SUM(BD92:BD106)/8</f>
        <v>9.875</v>
      </c>
      <c r="O92" s="151">
        <v>1</v>
      </c>
      <c r="P92" s="110" t="s">
        <v>145</v>
      </c>
      <c r="Q92" s="86">
        <v>0.3125</v>
      </c>
      <c r="R92" s="86">
        <v>0.70833333333333337</v>
      </c>
      <c r="S92" s="111"/>
      <c r="T92" s="111"/>
      <c r="U92" s="126"/>
      <c r="V92" s="132" t="s">
        <v>50</v>
      </c>
      <c r="W92" s="112"/>
      <c r="X92" s="121"/>
      <c r="Y92" s="122"/>
      <c r="Z92" s="113">
        <f t="shared" ref="Z92:Z103" si="82">(Y92-X92)*24</f>
        <v>0</v>
      </c>
      <c r="AA92" s="81">
        <f t="shared" ref="AA92:AA132" si="83">IF(Z92&gt;=6, (Z92-1), IF(Z92&lt;6, Z92))</f>
        <v>0</v>
      </c>
      <c r="AB92" s="112"/>
      <c r="AC92" s="121"/>
      <c r="AD92" s="121"/>
      <c r="AE92" s="123">
        <f t="shared" ref="AE92:AE103" si="84">(AD92-AC92)*24</f>
        <v>0</v>
      </c>
      <c r="AF92" s="81">
        <f t="shared" ref="AF92:AF132" si="85">IF(AE92&gt;=6, (AE92-1), IF(AE92&lt;6, AE92))</f>
        <v>0</v>
      </c>
      <c r="AG92" s="112"/>
      <c r="AH92" s="121"/>
      <c r="AI92" s="122"/>
      <c r="AJ92" s="113">
        <f t="shared" ref="AJ92:AJ103" si="86">(AI92-AH92)*24</f>
        <v>0</v>
      </c>
      <c r="AK92" s="81">
        <f t="shared" ref="AK92:AK132" si="87">IF(AJ92&gt;=6, (AJ92-1), IF(AJ92&lt;6, AJ92))</f>
        <v>0</v>
      </c>
      <c r="AL92" s="112"/>
      <c r="AM92" s="121"/>
      <c r="AN92" s="122"/>
      <c r="AO92" s="113">
        <f t="shared" ref="AO92:AO103" si="88">(AN92-AM92)*24</f>
        <v>0</v>
      </c>
      <c r="AP92" s="81">
        <f t="shared" ref="AP92:AP132" si="89">IF(AO92&gt;=6, (AO92-1), IF(AO92&lt;6, AO92))</f>
        <v>0</v>
      </c>
      <c r="AQ92" s="112"/>
      <c r="AR92" s="121"/>
      <c r="AS92" s="122"/>
      <c r="AT92" s="113">
        <f t="shared" ref="AT92:AT103" si="90">(AS92-AR92)*24</f>
        <v>0</v>
      </c>
      <c r="AU92" s="81">
        <f t="shared" ref="AU92:AU132" si="91">IF(AT92&gt;=6, (AT92-1), IF(AT92&lt;6, AT92))</f>
        <v>0</v>
      </c>
      <c r="AV92" s="112"/>
      <c r="AW92" s="121"/>
      <c r="AX92" s="122"/>
      <c r="AY92" s="113">
        <f t="shared" ref="AY92:AY103" si="92">(AX92-AW92)*24</f>
        <v>0</v>
      </c>
      <c r="AZ92" s="81">
        <f t="shared" ref="AZ92:AZ132" si="93">IF(AY92&gt;=6, (AY92-1), IF(AY92&lt;6, AY92))</f>
        <v>0</v>
      </c>
      <c r="BA92" s="78"/>
      <c r="BB92" s="79">
        <f>AA92+AF92+AK92+AP92+AU92+AZ92</f>
        <v>0</v>
      </c>
      <c r="BC92" s="80">
        <f t="shared" ref="BC92:BC106" si="94">IF(BB92&gt;0, BB92, IF(BB92=0, L92))</f>
        <v>8.5</v>
      </c>
      <c r="BD92" s="81">
        <f t="shared" ref="BD92:BD106" si="95">IF(BA92=1, (BC92-L92), IF(BA92=0, BC92))</f>
        <v>8.5</v>
      </c>
      <c r="BE92" s="122"/>
    </row>
    <row r="93" spans="1:57" s="31" customFormat="1" ht="17.5" customHeight="1" thickBot="1" x14ac:dyDescent="0.4">
      <c r="A93" s="241"/>
      <c r="B93" s="243"/>
      <c r="C93" s="245"/>
      <c r="D93" s="241"/>
      <c r="E93" s="51" t="s">
        <v>96</v>
      </c>
      <c r="F93" s="51" t="s">
        <v>67</v>
      </c>
      <c r="G93" s="51">
        <v>8.5</v>
      </c>
      <c r="H93" s="51">
        <v>1</v>
      </c>
      <c r="I93" s="108">
        <f xml:space="preserve"> SUM(G93*H93)</f>
        <v>8.5</v>
      </c>
      <c r="J93" s="295"/>
      <c r="K93" s="287"/>
      <c r="L93" s="54">
        <v>7.5</v>
      </c>
      <c r="M93" s="288"/>
      <c r="N93" s="288"/>
      <c r="O93" s="151">
        <v>1</v>
      </c>
      <c r="P93" s="120" t="s">
        <v>146</v>
      </c>
      <c r="Q93" s="57">
        <v>0.33333333333333331</v>
      </c>
      <c r="R93" s="57">
        <v>0.66666666666666663</v>
      </c>
      <c r="S93" s="111"/>
      <c r="T93" s="111"/>
      <c r="U93" s="126"/>
      <c r="V93" s="132" t="s">
        <v>110</v>
      </c>
      <c r="W93" s="112"/>
      <c r="X93" s="121"/>
      <c r="Y93" s="122"/>
      <c r="Z93" s="113">
        <f t="shared" si="82"/>
        <v>0</v>
      </c>
      <c r="AA93" s="81">
        <f t="shared" si="83"/>
        <v>0</v>
      </c>
      <c r="AB93" s="112"/>
      <c r="AC93" s="121"/>
      <c r="AD93" s="121"/>
      <c r="AE93" s="123">
        <f t="shared" si="84"/>
        <v>0</v>
      </c>
      <c r="AF93" s="81">
        <f t="shared" si="85"/>
        <v>0</v>
      </c>
      <c r="AG93" s="112"/>
      <c r="AH93" s="121"/>
      <c r="AI93" s="122"/>
      <c r="AJ93" s="113">
        <f t="shared" si="86"/>
        <v>0</v>
      </c>
      <c r="AK93" s="81">
        <f t="shared" si="87"/>
        <v>0</v>
      </c>
      <c r="AL93" s="112"/>
      <c r="AM93" s="121"/>
      <c r="AN93" s="122"/>
      <c r="AO93" s="113">
        <f t="shared" si="88"/>
        <v>0</v>
      </c>
      <c r="AP93" s="81">
        <f t="shared" si="89"/>
        <v>0</v>
      </c>
      <c r="AQ93" s="112"/>
      <c r="AR93" s="121"/>
      <c r="AS93" s="122"/>
      <c r="AT93" s="113">
        <f t="shared" si="90"/>
        <v>0</v>
      </c>
      <c r="AU93" s="81">
        <f t="shared" si="91"/>
        <v>0</v>
      </c>
      <c r="AV93" s="112"/>
      <c r="AW93" s="121"/>
      <c r="AX93" s="122"/>
      <c r="AY93" s="113">
        <f t="shared" si="92"/>
        <v>0</v>
      </c>
      <c r="AZ93" s="81">
        <f t="shared" si="93"/>
        <v>0</v>
      </c>
      <c r="BA93" s="123"/>
      <c r="BB93" s="79">
        <f>AA93+AF93+AK93+AP93+AU93+AZ93</f>
        <v>0</v>
      </c>
      <c r="BC93" s="115">
        <f t="shared" si="94"/>
        <v>7.5</v>
      </c>
      <c r="BD93" s="81">
        <f t="shared" si="95"/>
        <v>7.5</v>
      </c>
      <c r="BE93" s="122"/>
    </row>
    <row r="94" spans="1:57" s="31" customFormat="1" ht="17.5" customHeight="1" x14ac:dyDescent="0.35">
      <c r="A94" s="241"/>
      <c r="B94" s="243"/>
      <c r="C94" s="245"/>
      <c r="D94" s="241"/>
      <c r="E94" s="284" t="s">
        <v>39</v>
      </c>
      <c r="F94" s="278" t="s">
        <v>67</v>
      </c>
      <c r="G94" s="278">
        <v>8</v>
      </c>
      <c r="H94" s="278">
        <v>3</v>
      </c>
      <c r="I94" s="281">
        <v>24</v>
      </c>
      <c r="J94" s="295"/>
      <c r="K94" s="287"/>
      <c r="L94" s="54">
        <v>7</v>
      </c>
      <c r="M94" s="288"/>
      <c r="N94" s="288"/>
      <c r="O94" s="148">
        <v>1</v>
      </c>
      <c r="P94" s="56" t="s">
        <v>147</v>
      </c>
      <c r="Q94" s="57">
        <v>0.33333333333333331</v>
      </c>
      <c r="R94" s="57">
        <v>0.66666666666666663</v>
      </c>
      <c r="S94" s="26">
        <v>0.33333333333333331</v>
      </c>
      <c r="T94" s="26">
        <v>0.54166666666666663</v>
      </c>
      <c r="U94" s="210"/>
      <c r="V94" s="58" t="s">
        <v>110</v>
      </c>
      <c r="W94" s="59"/>
      <c r="X94" s="83"/>
      <c r="Y94" s="65"/>
      <c r="Z94" s="29">
        <f t="shared" si="82"/>
        <v>0</v>
      </c>
      <c r="AA94" s="64">
        <f t="shared" si="83"/>
        <v>0</v>
      </c>
      <c r="AB94" s="59"/>
      <c r="AC94" s="83"/>
      <c r="AD94" s="83"/>
      <c r="AE94" s="62">
        <f t="shared" si="84"/>
        <v>0</v>
      </c>
      <c r="AF94" s="64">
        <f t="shared" si="85"/>
        <v>0</v>
      </c>
      <c r="AG94" s="59"/>
      <c r="AH94" s="83"/>
      <c r="AI94" s="65"/>
      <c r="AJ94" s="29">
        <f t="shared" si="86"/>
        <v>0</v>
      </c>
      <c r="AK94" s="64">
        <f t="shared" si="87"/>
        <v>0</v>
      </c>
      <c r="AL94" s="59"/>
      <c r="AM94" s="83"/>
      <c r="AN94" s="65"/>
      <c r="AO94" s="29">
        <f t="shared" si="88"/>
        <v>0</v>
      </c>
      <c r="AP94" s="64">
        <f t="shared" si="89"/>
        <v>0</v>
      </c>
      <c r="AQ94" s="59"/>
      <c r="AR94" s="83"/>
      <c r="AS94" s="65"/>
      <c r="AT94" s="29">
        <f t="shared" si="90"/>
        <v>0</v>
      </c>
      <c r="AU94" s="64">
        <f t="shared" si="91"/>
        <v>0</v>
      </c>
      <c r="AV94" s="59"/>
      <c r="AW94" s="83"/>
      <c r="AX94" s="65"/>
      <c r="AY94" s="29">
        <f t="shared" si="92"/>
        <v>0</v>
      </c>
      <c r="AZ94" s="64">
        <f t="shared" si="93"/>
        <v>0</v>
      </c>
      <c r="BA94" s="62"/>
      <c r="BB94" s="63">
        <f t="shared" ref="BB94:BB96" si="96">AA94+AF94+AK94+AP94+AU94+AZ94</f>
        <v>0</v>
      </c>
      <c r="BC94" s="13">
        <f t="shared" si="94"/>
        <v>7</v>
      </c>
      <c r="BD94" s="64">
        <f t="shared" si="95"/>
        <v>7</v>
      </c>
      <c r="BE94" s="65"/>
    </row>
    <row r="95" spans="1:57" s="31" customFormat="1" ht="17.5" customHeight="1" x14ac:dyDescent="0.35">
      <c r="A95" s="241"/>
      <c r="B95" s="243"/>
      <c r="C95" s="245"/>
      <c r="D95" s="241"/>
      <c r="E95" s="317"/>
      <c r="F95" s="279"/>
      <c r="G95" s="279"/>
      <c r="H95" s="279"/>
      <c r="I95" s="282"/>
      <c r="J95" s="295"/>
      <c r="K95" s="287"/>
      <c r="L95" s="54">
        <v>7</v>
      </c>
      <c r="M95" s="288"/>
      <c r="N95" s="288"/>
      <c r="O95" s="149">
        <v>2</v>
      </c>
      <c r="P95" s="74" t="s">
        <v>148</v>
      </c>
      <c r="Q95" s="26">
        <v>0.33333333333333331</v>
      </c>
      <c r="R95" s="26">
        <v>0.5</v>
      </c>
      <c r="S95" s="26"/>
      <c r="T95" s="26"/>
      <c r="U95" s="118"/>
      <c r="V95" s="69" t="s">
        <v>43</v>
      </c>
      <c r="W95" s="70"/>
      <c r="X95" s="28"/>
      <c r="Y95" s="73"/>
      <c r="Z95" s="29">
        <f t="shared" si="82"/>
        <v>0</v>
      </c>
      <c r="AA95" s="64">
        <f t="shared" si="83"/>
        <v>0</v>
      </c>
      <c r="AB95" s="70"/>
      <c r="AC95" s="28"/>
      <c r="AD95" s="28"/>
      <c r="AE95" s="62">
        <f t="shared" si="84"/>
        <v>0</v>
      </c>
      <c r="AF95" s="64">
        <f t="shared" si="85"/>
        <v>0</v>
      </c>
      <c r="AG95" s="70"/>
      <c r="AH95" s="28"/>
      <c r="AI95" s="73"/>
      <c r="AJ95" s="29">
        <f t="shared" si="86"/>
        <v>0</v>
      </c>
      <c r="AK95" s="64">
        <f t="shared" si="87"/>
        <v>0</v>
      </c>
      <c r="AL95" s="70"/>
      <c r="AM95" s="28"/>
      <c r="AN95" s="73"/>
      <c r="AO95" s="29">
        <f t="shared" si="88"/>
        <v>0</v>
      </c>
      <c r="AP95" s="64">
        <f t="shared" si="89"/>
        <v>0</v>
      </c>
      <c r="AQ95" s="70"/>
      <c r="AR95" s="28"/>
      <c r="AS95" s="73"/>
      <c r="AT95" s="29">
        <f t="shared" si="90"/>
        <v>0</v>
      </c>
      <c r="AU95" s="64">
        <f t="shared" si="91"/>
        <v>0</v>
      </c>
      <c r="AV95" s="70"/>
      <c r="AW95" s="28"/>
      <c r="AX95" s="73"/>
      <c r="AY95" s="29">
        <f t="shared" si="92"/>
        <v>0</v>
      </c>
      <c r="AZ95" s="64">
        <f t="shared" si="93"/>
        <v>0</v>
      </c>
      <c r="BA95" s="62"/>
      <c r="BB95" s="63">
        <f t="shared" si="96"/>
        <v>0</v>
      </c>
      <c r="BC95" s="13">
        <f t="shared" si="94"/>
        <v>7</v>
      </c>
      <c r="BD95" s="64">
        <f t="shared" si="95"/>
        <v>7</v>
      </c>
      <c r="BE95" s="73"/>
    </row>
    <row r="96" spans="1:57" s="31" customFormat="1" ht="17.5" customHeight="1" thickBot="1" x14ac:dyDescent="0.4">
      <c r="A96" s="241"/>
      <c r="B96" s="243"/>
      <c r="C96" s="245"/>
      <c r="D96" s="241"/>
      <c r="E96" s="285"/>
      <c r="F96" s="280"/>
      <c r="G96" s="280"/>
      <c r="H96" s="280"/>
      <c r="I96" s="283"/>
      <c r="J96" s="295"/>
      <c r="K96" s="287"/>
      <c r="L96" s="54">
        <v>7</v>
      </c>
      <c r="M96" s="288"/>
      <c r="N96" s="288"/>
      <c r="O96" s="150">
        <v>3</v>
      </c>
      <c r="P96" s="98" t="s">
        <v>149</v>
      </c>
      <c r="Q96" s="86">
        <v>0.33333333333333331</v>
      </c>
      <c r="R96" s="86">
        <v>0.54166666666666663</v>
      </c>
      <c r="S96" s="86"/>
      <c r="T96" s="86"/>
      <c r="U96" s="126"/>
      <c r="V96" s="88" t="s">
        <v>50</v>
      </c>
      <c r="W96" s="89"/>
      <c r="X96" s="90"/>
      <c r="Y96" s="91"/>
      <c r="Z96" s="77">
        <f t="shared" si="82"/>
        <v>0</v>
      </c>
      <c r="AA96" s="81">
        <f t="shared" si="83"/>
        <v>0</v>
      </c>
      <c r="AB96" s="89"/>
      <c r="AC96" s="90"/>
      <c r="AD96" s="90"/>
      <c r="AE96" s="78">
        <f t="shared" si="84"/>
        <v>0</v>
      </c>
      <c r="AF96" s="81">
        <f t="shared" si="85"/>
        <v>0</v>
      </c>
      <c r="AG96" s="89"/>
      <c r="AH96" s="90"/>
      <c r="AI96" s="91"/>
      <c r="AJ96" s="77">
        <f t="shared" si="86"/>
        <v>0</v>
      </c>
      <c r="AK96" s="81">
        <f t="shared" si="87"/>
        <v>0</v>
      </c>
      <c r="AL96" s="89"/>
      <c r="AM96" s="90"/>
      <c r="AN96" s="91"/>
      <c r="AO96" s="77">
        <f t="shared" si="88"/>
        <v>0</v>
      </c>
      <c r="AP96" s="81">
        <f t="shared" si="89"/>
        <v>0</v>
      </c>
      <c r="AQ96" s="89"/>
      <c r="AR96" s="90"/>
      <c r="AS96" s="91"/>
      <c r="AT96" s="77">
        <f t="shared" si="90"/>
        <v>0</v>
      </c>
      <c r="AU96" s="81">
        <f t="shared" si="91"/>
        <v>0</v>
      </c>
      <c r="AV96" s="89"/>
      <c r="AW96" s="90"/>
      <c r="AX96" s="91"/>
      <c r="AY96" s="77">
        <f t="shared" si="92"/>
        <v>0</v>
      </c>
      <c r="AZ96" s="81">
        <f t="shared" si="93"/>
        <v>0</v>
      </c>
      <c r="BA96" s="78"/>
      <c r="BB96" s="79">
        <f t="shared" si="96"/>
        <v>0</v>
      </c>
      <c r="BC96" s="80">
        <f t="shared" si="94"/>
        <v>7</v>
      </c>
      <c r="BD96" s="81">
        <f t="shared" si="95"/>
        <v>7</v>
      </c>
      <c r="BE96" s="91"/>
    </row>
    <row r="97" spans="1:57" s="31" customFormat="1" ht="17.5" customHeight="1" thickBot="1" x14ac:dyDescent="0.4">
      <c r="A97" s="241"/>
      <c r="B97" s="243"/>
      <c r="C97" s="245"/>
      <c r="D97" s="241"/>
      <c r="E97" s="51" t="s">
        <v>81</v>
      </c>
      <c r="F97" s="51" t="s">
        <v>52</v>
      </c>
      <c r="G97" s="51">
        <v>2</v>
      </c>
      <c r="H97" s="51">
        <v>1</v>
      </c>
      <c r="I97" s="108">
        <f xml:space="preserve"> SUM(G97*H97)</f>
        <v>2</v>
      </c>
      <c r="J97" s="295"/>
      <c r="K97" s="287"/>
      <c r="L97" s="54">
        <v>2</v>
      </c>
      <c r="M97" s="288"/>
      <c r="N97" s="288"/>
      <c r="O97" s="151">
        <v>1</v>
      </c>
      <c r="P97" s="120" t="s">
        <v>150</v>
      </c>
      <c r="Q97" s="111">
        <v>0.33333333333333331</v>
      </c>
      <c r="R97" s="111">
        <v>0.54166666666666663</v>
      </c>
      <c r="S97" s="111"/>
      <c r="T97" s="111"/>
      <c r="U97" s="126"/>
      <c r="V97" s="132" t="s">
        <v>50</v>
      </c>
      <c r="W97" s="112"/>
      <c r="X97" s="121"/>
      <c r="Y97" s="122"/>
      <c r="Z97" s="113">
        <f t="shared" si="82"/>
        <v>0</v>
      </c>
      <c r="AA97" s="81">
        <f t="shared" si="83"/>
        <v>0</v>
      </c>
      <c r="AB97" s="112"/>
      <c r="AC97" s="121"/>
      <c r="AD97" s="121"/>
      <c r="AE97" s="123">
        <f t="shared" si="84"/>
        <v>0</v>
      </c>
      <c r="AF97" s="81">
        <f t="shared" si="85"/>
        <v>0</v>
      </c>
      <c r="AG97" s="112"/>
      <c r="AH97" s="121"/>
      <c r="AI97" s="122"/>
      <c r="AJ97" s="113">
        <f t="shared" si="86"/>
        <v>0</v>
      </c>
      <c r="AK97" s="81">
        <f t="shared" si="87"/>
        <v>0</v>
      </c>
      <c r="AL97" s="112"/>
      <c r="AM97" s="121"/>
      <c r="AN97" s="122"/>
      <c r="AO97" s="113">
        <f t="shared" si="88"/>
        <v>0</v>
      </c>
      <c r="AP97" s="81">
        <f t="shared" si="89"/>
        <v>0</v>
      </c>
      <c r="AQ97" s="112"/>
      <c r="AR97" s="121"/>
      <c r="AS97" s="122"/>
      <c r="AT97" s="113">
        <f t="shared" si="90"/>
        <v>0</v>
      </c>
      <c r="AU97" s="81">
        <f t="shared" si="91"/>
        <v>0</v>
      </c>
      <c r="AV97" s="112"/>
      <c r="AW97" s="121"/>
      <c r="AX97" s="122"/>
      <c r="AY97" s="113">
        <f t="shared" si="92"/>
        <v>0</v>
      </c>
      <c r="AZ97" s="81">
        <f t="shared" si="93"/>
        <v>0</v>
      </c>
      <c r="BA97" s="123"/>
      <c r="BB97" s="79">
        <f>AA97+AF97+AK97+AP97+AU97+AZ97</f>
        <v>0</v>
      </c>
      <c r="BC97" s="80">
        <f t="shared" si="94"/>
        <v>2</v>
      </c>
      <c r="BD97" s="81">
        <f t="shared" si="95"/>
        <v>2</v>
      </c>
      <c r="BE97" s="122"/>
    </row>
    <row r="98" spans="1:57" s="31" customFormat="1" ht="17.5" customHeight="1" thickBot="1" x14ac:dyDescent="0.4">
      <c r="A98" s="241"/>
      <c r="B98" s="243"/>
      <c r="C98" s="245"/>
      <c r="D98" s="241"/>
      <c r="E98" s="51" t="s">
        <v>81</v>
      </c>
      <c r="F98" s="51" t="s">
        <v>53</v>
      </c>
      <c r="G98" s="51">
        <v>8</v>
      </c>
      <c r="H98" s="51">
        <v>1</v>
      </c>
      <c r="I98" s="108">
        <f xml:space="preserve"> SUM(G98*H98)</f>
        <v>8</v>
      </c>
      <c r="J98" s="295"/>
      <c r="K98" s="287"/>
      <c r="L98" s="54">
        <v>7</v>
      </c>
      <c r="M98" s="288"/>
      <c r="N98" s="288"/>
      <c r="O98" s="151">
        <v>1</v>
      </c>
      <c r="P98" s="120" t="s">
        <v>119</v>
      </c>
      <c r="Q98" s="111" t="s">
        <v>151</v>
      </c>
      <c r="R98" s="111" t="s">
        <v>152</v>
      </c>
      <c r="S98" s="111"/>
      <c r="T98" s="111"/>
      <c r="U98" s="126"/>
      <c r="V98" s="132" t="s">
        <v>89</v>
      </c>
      <c r="W98" s="112"/>
      <c r="X98" s="121"/>
      <c r="Y98" s="122"/>
      <c r="Z98" s="113">
        <f t="shared" si="82"/>
        <v>0</v>
      </c>
      <c r="AA98" s="81">
        <f t="shared" si="83"/>
        <v>0</v>
      </c>
      <c r="AB98" s="112"/>
      <c r="AC98" s="121"/>
      <c r="AD98" s="121"/>
      <c r="AE98" s="123">
        <f t="shared" si="84"/>
        <v>0</v>
      </c>
      <c r="AF98" s="81">
        <f t="shared" si="85"/>
        <v>0</v>
      </c>
      <c r="AG98" s="112"/>
      <c r="AH98" s="121"/>
      <c r="AI98" s="122"/>
      <c r="AJ98" s="113">
        <f t="shared" si="86"/>
        <v>0</v>
      </c>
      <c r="AK98" s="81">
        <f t="shared" si="87"/>
        <v>0</v>
      </c>
      <c r="AL98" s="112"/>
      <c r="AM98" s="121"/>
      <c r="AN98" s="122"/>
      <c r="AO98" s="113">
        <f t="shared" si="88"/>
        <v>0</v>
      </c>
      <c r="AP98" s="81">
        <f t="shared" si="89"/>
        <v>0</v>
      </c>
      <c r="AQ98" s="112"/>
      <c r="AR98" s="121"/>
      <c r="AS98" s="122"/>
      <c r="AT98" s="113">
        <f t="shared" si="90"/>
        <v>0</v>
      </c>
      <c r="AU98" s="81">
        <f t="shared" si="91"/>
        <v>0</v>
      </c>
      <c r="AV98" s="112"/>
      <c r="AW98" s="121"/>
      <c r="AX98" s="122"/>
      <c r="AY98" s="113">
        <f t="shared" si="92"/>
        <v>0</v>
      </c>
      <c r="AZ98" s="81">
        <f t="shared" si="93"/>
        <v>0</v>
      </c>
      <c r="BA98" s="123"/>
      <c r="BB98" s="79">
        <f>AA98+AF98+AK98+AP98+AU98+AZ98</f>
        <v>0</v>
      </c>
      <c r="BC98" s="115">
        <f t="shared" si="94"/>
        <v>7</v>
      </c>
      <c r="BD98" s="81">
        <f t="shared" si="95"/>
        <v>7</v>
      </c>
      <c r="BE98" s="122"/>
    </row>
    <row r="99" spans="1:57" s="31" customFormat="1" ht="17.5" customHeight="1" thickBot="1" x14ac:dyDescent="0.4">
      <c r="A99" s="241"/>
      <c r="B99" s="243"/>
      <c r="C99" s="245"/>
      <c r="D99" s="241"/>
      <c r="E99" s="154" t="s">
        <v>40</v>
      </c>
      <c r="F99" s="51" t="s">
        <v>153</v>
      </c>
      <c r="G99" s="51">
        <v>2</v>
      </c>
      <c r="H99" s="51">
        <v>1</v>
      </c>
      <c r="I99" s="108">
        <f xml:space="preserve"> SUM(G99*H99)</f>
        <v>2</v>
      </c>
      <c r="J99" s="295"/>
      <c r="K99" s="287"/>
      <c r="L99" s="54">
        <v>2</v>
      </c>
      <c r="M99" s="288"/>
      <c r="N99" s="288"/>
      <c r="O99" s="151">
        <v>1</v>
      </c>
      <c r="P99" s="120" t="s">
        <v>154</v>
      </c>
      <c r="Q99" s="111">
        <v>0.47916666666666669</v>
      </c>
      <c r="R99" s="111">
        <v>0.375</v>
      </c>
      <c r="S99" s="111"/>
      <c r="T99" s="111"/>
      <c r="U99" s="126"/>
      <c r="V99" s="132" t="s">
        <v>50</v>
      </c>
      <c r="W99" s="112"/>
      <c r="X99" s="121"/>
      <c r="Y99" s="122"/>
      <c r="Z99" s="113">
        <f t="shared" si="82"/>
        <v>0</v>
      </c>
      <c r="AA99" s="81">
        <f t="shared" si="83"/>
        <v>0</v>
      </c>
      <c r="AB99" s="112"/>
      <c r="AC99" s="121"/>
      <c r="AD99" s="121"/>
      <c r="AE99" s="123">
        <f t="shared" si="84"/>
        <v>0</v>
      </c>
      <c r="AF99" s="81">
        <f t="shared" si="85"/>
        <v>0</v>
      </c>
      <c r="AG99" s="112"/>
      <c r="AH99" s="121"/>
      <c r="AI99" s="122"/>
      <c r="AJ99" s="113">
        <f t="shared" si="86"/>
        <v>0</v>
      </c>
      <c r="AK99" s="81">
        <f t="shared" si="87"/>
        <v>0</v>
      </c>
      <c r="AL99" s="112"/>
      <c r="AM99" s="121"/>
      <c r="AN99" s="122"/>
      <c r="AO99" s="113">
        <f t="shared" si="88"/>
        <v>0</v>
      </c>
      <c r="AP99" s="81">
        <f t="shared" si="89"/>
        <v>0</v>
      </c>
      <c r="AQ99" s="112"/>
      <c r="AR99" s="121"/>
      <c r="AS99" s="122"/>
      <c r="AT99" s="113">
        <f t="shared" si="90"/>
        <v>0</v>
      </c>
      <c r="AU99" s="81">
        <f t="shared" si="91"/>
        <v>0</v>
      </c>
      <c r="AV99" s="112"/>
      <c r="AW99" s="121"/>
      <c r="AX99" s="122"/>
      <c r="AY99" s="113">
        <f t="shared" si="92"/>
        <v>0</v>
      </c>
      <c r="AZ99" s="81">
        <f t="shared" si="93"/>
        <v>0</v>
      </c>
      <c r="BA99" s="123"/>
      <c r="BB99" s="79">
        <f>AA99+AF99+AK99+AP99+AU99+AZ99</f>
        <v>0</v>
      </c>
      <c r="BC99" s="115">
        <f t="shared" si="94"/>
        <v>2</v>
      </c>
      <c r="BD99" s="81">
        <f t="shared" si="95"/>
        <v>2</v>
      </c>
      <c r="BE99" s="122"/>
    </row>
    <row r="100" spans="1:57" s="31" customFormat="1" ht="17.5" customHeight="1" x14ac:dyDescent="0.35">
      <c r="A100" s="241"/>
      <c r="B100" s="243"/>
      <c r="C100" s="245"/>
      <c r="D100" s="241"/>
      <c r="E100" s="278" t="s">
        <v>52</v>
      </c>
      <c r="F100" s="278" t="s">
        <v>83</v>
      </c>
      <c r="G100" s="278">
        <v>8</v>
      </c>
      <c r="H100" s="278">
        <v>2</v>
      </c>
      <c r="I100" s="281">
        <v>16</v>
      </c>
      <c r="J100" s="295"/>
      <c r="K100" s="287"/>
      <c r="L100" s="54">
        <v>7</v>
      </c>
      <c r="M100" s="288"/>
      <c r="N100" s="288"/>
      <c r="O100" s="148">
        <v>1</v>
      </c>
      <c r="P100" s="56" t="s">
        <v>155</v>
      </c>
      <c r="Q100" s="57">
        <v>0.54166666666666663</v>
      </c>
      <c r="R100" s="57">
        <v>0.875</v>
      </c>
      <c r="S100" s="57">
        <v>0.66666666666666663</v>
      </c>
      <c r="T100" s="57">
        <v>0.875</v>
      </c>
      <c r="U100" s="210"/>
      <c r="V100" s="58" t="s">
        <v>110</v>
      </c>
      <c r="W100" s="59"/>
      <c r="X100" s="83"/>
      <c r="Y100" s="65"/>
      <c r="Z100" s="29">
        <f t="shared" si="82"/>
        <v>0</v>
      </c>
      <c r="AA100" s="64">
        <f t="shared" si="83"/>
        <v>0</v>
      </c>
      <c r="AB100" s="59"/>
      <c r="AC100" s="83"/>
      <c r="AD100" s="83"/>
      <c r="AE100" s="62">
        <f t="shared" si="84"/>
        <v>0</v>
      </c>
      <c r="AF100" s="64">
        <f t="shared" si="85"/>
        <v>0</v>
      </c>
      <c r="AG100" s="59"/>
      <c r="AH100" s="83"/>
      <c r="AI100" s="65"/>
      <c r="AJ100" s="29">
        <f t="shared" si="86"/>
        <v>0</v>
      </c>
      <c r="AK100" s="64">
        <f t="shared" si="87"/>
        <v>0</v>
      </c>
      <c r="AL100" s="59"/>
      <c r="AM100" s="83"/>
      <c r="AN100" s="65"/>
      <c r="AO100" s="29">
        <f t="shared" si="88"/>
        <v>0</v>
      </c>
      <c r="AP100" s="64">
        <f t="shared" si="89"/>
        <v>0</v>
      </c>
      <c r="AQ100" s="59"/>
      <c r="AR100" s="83"/>
      <c r="AS100" s="65"/>
      <c r="AT100" s="29">
        <f t="shared" si="90"/>
        <v>0</v>
      </c>
      <c r="AU100" s="64">
        <f t="shared" si="91"/>
        <v>0</v>
      </c>
      <c r="AV100" s="59"/>
      <c r="AW100" s="83"/>
      <c r="AX100" s="65"/>
      <c r="AY100" s="29">
        <f t="shared" si="92"/>
        <v>0</v>
      </c>
      <c r="AZ100" s="64">
        <f t="shared" si="93"/>
        <v>0</v>
      </c>
      <c r="BA100" s="62"/>
      <c r="BB100" s="63">
        <f t="shared" ref="BB100:BB101" si="97">AA100+AF100+AK100+AP100+AU100+AZ100</f>
        <v>0</v>
      </c>
      <c r="BC100" s="13">
        <f t="shared" si="94"/>
        <v>7</v>
      </c>
      <c r="BD100" s="64">
        <f t="shared" si="95"/>
        <v>7</v>
      </c>
      <c r="BE100" s="65"/>
    </row>
    <row r="101" spans="1:57" s="31" customFormat="1" ht="17.5" customHeight="1" thickBot="1" x14ac:dyDescent="0.4">
      <c r="A101" s="241"/>
      <c r="B101" s="243"/>
      <c r="C101" s="245"/>
      <c r="D101" s="241"/>
      <c r="E101" s="280"/>
      <c r="F101" s="280"/>
      <c r="G101" s="280"/>
      <c r="H101" s="280"/>
      <c r="I101" s="283"/>
      <c r="J101" s="295"/>
      <c r="K101" s="287"/>
      <c r="L101" s="54">
        <v>7</v>
      </c>
      <c r="M101" s="288"/>
      <c r="N101" s="288"/>
      <c r="O101" s="150">
        <v>2</v>
      </c>
      <c r="P101" s="98" t="s">
        <v>156</v>
      </c>
      <c r="Q101" s="86">
        <v>0.54166666666666663</v>
      </c>
      <c r="R101" s="86">
        <v>0.875</v>
      </c>
      <c r="S101" s="86"/>
      <c r="T101" s="86"/>
      <c r="U101" s="126"/>
      <c r="V101" s="88" t="s">
        <v>65</v>
      </c>
      <c r="W101" s="89"/>
      <c r="X101" s="90"/>
      <c r="Y101" s="91"/>
      <c r="Z101" s="77">
        <f t="shared" si="82"/>
        <v>0</v>
      </c>
      <c r="AA101" s="81">
        <f t="shared" si="83"/>
        <v>0</v>
      </c>
      <c r="AB101" s="89"/>
      <c r="AC101" s="90"/>
      <c r="AD101" s="90"/>
      <c r="AE101" s="78">
        <f t="shared" si="84"/>
        <v>0</v>
      </c>
      <c r="AF101" s="81">
        <f t="shared" si="85"/>
        <v>0</v>
      </c>
      <c r="AG101" s="89"/>
      <c r="AH101" s="90"/>
      <c r="AI101" s="91"/>
      <c r="AJ101" s="77">
        <f t="shared" si="86"/>
        <v>0</v>
      </c>
      <c r="AK101" s="81">
        <f t="shared" si="87"/>
        <v>0</v>
      </c>
      <c r="AL101" s="89"/>
      <c r="AM101" s="90"/>
      <c r="AN101" s="91"/>
      <c r="AO101" s="77">
        <f t="shared" si="88"/>
        <v>0</v>
      </c>
      <c r="AP101" s="81">
        <f t="shared" si="89"/>
        <v>0</v>
      </c>
      <c r="AQ101" s="89"/>
      <c r="AR101" s="90"/>
      <c r="AS101" s="91"/>
      <c r="AT101" s="77">
        <f t="shared" si="90"/>
        <v>0</v>
      </c>
      <c r="AU101" s="81">
        <f t="shared" si="91"/>
        <v>0</v>
      </c>
      <c r="AV101" s="89"/>
      <c r="AW101" s="90"/>
      <c r="AX101" s="91"/>
      <c r="AY101" s="77">
        <f t="shared" si="92"/>
        <v>0</v>
      </c>
      <c r="AZ101" s="81">
        <f t="shared" si="93"/>
        <v>0</v>
      </c>
      <c r="BA101" s="78"/>
      <c r="BB101" s="79">
        <f t="shared" si="97"/>
        <v>0</v>
      </c>
      <c r="BC101" s="80">
        <f t="shared" si="94"/>
        <v>7</v>
      </c>
      <c r="BD101" s="81">
        <f t="shared" si="95"/>
        <v>7</v>
      </c>
      <c r="BE101" s="91"/>
    </row>
    <row r="102" spans="1:57" s="31" customFormat="1" ht="17.5" customHeight="1" thickBot="1" x14ac:dyDescent="0.4">
      <c r="A102" s="241"/>
      <c r="B102" s="243"/>
      <c r="C102" s="245"/>
      <c r="D102" s="241"/>
      <c r="E102" s="154" t="s">
        <v>67</v>
      </c>
      <c r="F102" s="51" t="s">
        <v>53</v>
      </c>
      <c r="G102" s="51">
        <v>3</v>
      </c>
      <c r="H102" s="51">
        <v>1</v>
      </c>
      <c r="I102" s="108">
        <f xml:space="preserve"> SUM(G102*H102)</f>
        <v>3</v>
      </c>
      <c r="J102" s="295"/>
      <c r="K102" s="287"/>
      <c r="L102" s="54">
        <v>3</v>
      </c>
      <c r="M102" s="288"/>
      <c r="N102" s="288"/>
      <c r="O102" s="151">
        <v>1</v>
      </c>
      <c r="P102" s="120" t="s">
        <v>154</v>
      </c>
      <c r="Q102" s="111">
        <v>0.47916666666666669</v>
      </c>
      <c r="R102" s="111">
        <v>0.875</v>
      </c>
      <c r="S102" s="111"/>
      <c r="T102" s="111"/>
      <c r="U102" s="126"/>
      <c r="V102" s="132" t="s">
        <v>50</v>
      </c>
      <c r="W102" s="112"/>
      <c r="X102" s="121"/>
      <c r="Y102" s="122"/>
      <c r="Z102" s="113">
        <f t="shared" si="82"/>
        <v>0</v>
      </c>
      <c r="AA102" s="81">
        <f t="shared" si="83"/>
        <v>0</v>
      </c>
      <c r="AB102" s="112"/>
      <c r="AC102" s="121"/>
      <c r="AD102" s="121"/>
      <c r="AE102" s="123">
        <f t="shared" si="84"/>
        <v>0</v>
      </c>
      <c r="AF102" s="81">
        <f t="shared" si="85"/>
        <v>0</v>
      </c>
      <c r="AG102" s="112"/>
      <c r="AH102" s="121"/>
      <c r="AI102" s="122"/>
      <c r="AJ102" s="113">
        <f t="shared" si="86"/>
        <v>0</v>
      </c>
      <c r="AK102" s="81">
        <f t="shared" si="87"/>
        <v>0</v>
      </c>
      <c r="AL102" s="112"/>
      <c r="AM102" s="121"/>
      <c r="AN102" s="122"/>
      <c r="AO102" s="113">
        <f t="shared" si="88"/>
        <v>0</v>
      </c>
      <c r="AP102" s="81">
        <f t="shared" si="89"/>
        <v>0</v>
      </c>
      <c r="AQ102" s="112"/>
      <c r="AR102" s="121"/>
      <c r="AS102" s="122"/>
      <c r="AT102" s="113">
        <f t="shared" si="90"/>
        <v>0</v>
      </c>
      <c r="AU102" s="81">
        <f t="shared" si="91"/>
        <v>0</v>
      </c>
      <c r="AV102" s="112"/>
      <c r="AW102" s="121"/>
      <c r="AX102" s="122"/>
      <c r="AY102" s="113">
        <f t="shared" si="92"/>
        <v>0</v>
      </c>
      <c r="AZ102" s="81">
        <f t="shared" si="93"/>
        <v>0</v>
      </c>
      <c r="BA102" s="123"/>
      <c r="BB102" s="79">
        <f>AA102+AF102+AK102+AP102+AU102+AZ102</f>
        <v>0</v>
      </c>
      <c r="BC102" s="115">
        <f t="shared" si="94"/>
        <v>3</v>
      </c>
      <c r="BD102" s="81">
        <f t="shared" si="95"/>
        <v>3</v>
      </c>
      <c r="BE102" s="122"/>
    </row>
    <row r="103" spans="1:57" s="31" customFormat="1" ht="17.5" customHeight="1" thickBot="1" x14ac:dyDescent="0.4">
      <c r="A103" s="241"/>
      <c r="B103" s="243"/>
      <c r="C103" s="245"/>
      <c r="D103" s="241"/>
      <c r="E103" s="154" t="s">
        <v>67</v>
      </c>
      <c r="F103" s="51" t="s">
        <v>83</v>
      </c>
      <c r="G103" s="51">
        <v>5</v>
      </c>
      <c r="H103" s="51">
        <v>1</v>
      </c>
      <c r="I103" s="108">
        <f xml:space="preserve"> SUM(G103*H103)</f>
        <v>5</v>
      </c>
      <c r="J103" s="295"/>
      <c r="K103" s="287"/>
      <c r="L103" s="54">
        <v>5</v>
      </c>
      <c r="M103" s="288"/>
      <c r="N103" s="288"/>
      <c r="O103" s="151">
        <v>1</v>
      </c>
      <c r="P103" s="120" t="s">
        <v>157</v>
      </c>
      <c r="Q103" s="111">
        <v>0.66666666666666663</v>
      </c>
      <c r="R103" s="111">
        <v>0.875</v>
      </c>
      <c r="S103" s="111"/>
      <c r="T103" s="111"/>
      <c r="U103" s="126"/>
      <c r="V103" s="132" t="s">
        <v>43</v>
      </c>
      <c r="W103" s="112"/>
      <c r="X103" s="121"/>
      <c r="Y103" s="122"/>
      <c r="Z103" s="113">
        <f t="shared" si="82"/>
        <v>0</v>
      </c>
      <c r="AA103" s="81">
        <f t="shared" si="83"/>
        <v>0</v>
      </c>
      <c r="AB103" s="112"/>
      <c r="AC103" s="121"/>
      <c r="AD103" s="121"/>
      <c r="AE103" s="123">
        <f t="shared" si="84"/>
        <v>0</v>
      </c>
      <c r="AF103" s="81">
        <f t="shared" si="85"/>
        <v>0</v>
      </c>
      <c r="AG103" s="112"/>
      <c r="AH103" s="121"/>
      <c r="AI103" s="122"/>
      <c r="AJ103" s="113">
        <f t="shared" si="86"/>
        <v>0</v>
      </c>
      <c r="AK103" s="81">
        <f t="shared" si="87"/>
        <v>0</v>
      </c>
      <c r="AL103" s="112"/>
      <c r="AM103" s="121"/>
      <c r="AN103" s="122"/>
      <c r="AO103" s="113">
        <f t="shared" si="88"/>
        <v>0</v>
      </c>
      <c r="AP103" s="81">
        <f t="shared" si="89"/>
        <v>0</v>
      </c>
      <c r="AQ103" s="112"/>
      <c r="AR103" s="121"/>
      <c r="AS103" s="122"/>
      <c r="AT103" s="113">
        <f t="shared" si="90"/>
        <v>0</v>
      </c>
      <c r="AU103" s="81">
        <f t="shared" si="91"/>
        <v>0</v>
      </c>
      <c r="AV103" s="112"/>
      <c r="AW103" s="121"/>
      <c r="AX103" s="122"/>
      <c r="AY103" s="113">
        <f t="shared" si="92"/>
        <v>0</v>
      </c>
      <c r="AZ103" s="81">
        <f t="shared" si="93"/>
        <v>0</v>
      </c>
      <c r="BA103" s="78"/>
      <c r="BB103" s="79">
        <f>AA103+AF103+AK103+AP103+AU103+AZ103</f>
        <v>0</v>
      </c>
      <c r="BC103" s="115">
        <f t="shared" si="94"/>
        <v>5</v>
      </c>
      <c r="BD103" s="81">
        <f t="shared" si="95"/>
        <v>5</v>
      </c>
      <c r="BE103" s="122"/>
    </row>
    <row r="104" spans="1:57" s="31" customFormat="1" ht="17.5" customHeight="1" thickBot="1" x14ac:dyDescent="0.4">
      <c r="A104" s="241"/>
      <c r="B104" s="243"/>
      <c r="C104" s="245"/>
      <c r="D104" s="241"/>
      <c r="E104" s="155" t="s">
        <v>83</v>
      </c>
      <c r="F104" s="138" t="s">
        <v>158</v>
      </c>
      <c r="G104" s="138">
        <v>5</v>
      </c>
      <c r="H104" s="138">
        <v>1</v>
      </c>
      <c r="I104" s="139">
        <v>5</v>
      </c>
      <c r="J104" s="295"/>
      <c r="K104" s="287"/>
      <c r="L104" s="54">
        <v>5</v>
      </c>
      <c r="M104" s="288"/>
      <c r="N104" s="288"/>
      <c r="O104" s="151">
        <v>1</v>
      </c>
      <c r="P104" s="110" t="s">
        <v>159</v>
      </c>
      <c r="Q104" s="111">
        <v>0.875</v>
      </c>
      <c r="R104" s="111">
        <v>0.3125</v>
      </c>
      <c r="S104" s="111"/>
      <c r="T104" s="111"/>
      <c r="U104" s="126"/>
      <c r="V104" s="132" t="s">
        <v>160</v>
      </c>
      <c r="W104" s="112"/>
      <c r="X104" s="121"/>
      <c r="Y104" s="122"/>
      <c r="Z104" s="113">
        <f>MOD(Y104-X104,1)*24</f>
        <v>0</v>
      </c>
      <c r="AA104" s="81">
        <f t="shared" si="83"/>
        <v>0</v>
      </c>
      <c r="AB104" s="112"/>
      <c r="AC104" s="121"/>
      <c r="AD104" s="121"/>
      <c r="AE104" s="113">
        <f>MOD(AD104-AC104,1)*24</f>
        <v>0</v>
      </c>
      <c r="AF104" s="81">
        <f t="shared" si="85"/>
        <v>0</v>
      </c>
      <c r="AG104" s="112"/>
      <c r="AH104" s="121"/>
      <c r="AI104" s="122"/>
      <c r="AJ104" s="113">
        <f>MOD(AI104-AH104,1)*24</f>
        <v>0</v>
      </c>
      <c r="AK104" s="81">
        <f t="shared" si="87"/>
        <v>0</v>
      </c>
      <c r="AL104" s="112"/>
      <c r="AM104" s="121"/>
      <c r="AN104" s="122"/>
      <c r="AO104" s="113">
        <f>MOD(AN104-AM104,1)*24</f>
        <v>0</v>
      </c>
      <c r="AP104" s="81">
        <f t="shared" si="89"/>
        <v>0</v>
      </c>
      <c r="AQ104" s="112"/>
      <c r="AR104" s="121"/>
      <c r="AS104" s="122"/>
      <c r="AT104" s="113">
        <f>MOD(AS104-AR104,1)*24</f>
        <v>0</v>
      </c>
      <c r="AU104" s="81">
        <f t="shared" si="91"/>
        <v>0</v>
      </c>
      <c r="AV104" s="112"/>
      <c r="AW104" s="121"/>
      <c r="AX104" s="122"/>
      <c r="AY104" s="113">
        <f>MOD(AX104-AW104,1)*24</f>
        <v>0</v>
      </c>
      <c r="AZ104" s="81">
        <f t="shared" si="93"/>
        <v>0</v>
      </c>
      <c r="BA104" s="78"/>
      <c r="BB104" s="79">
        <f>AA104+AF104+AK104+AP104+AU104+AZ104</f>
        <v>0</v>
      </c>
      <c r="BC104" s="115">
        <f t="shared" si="94"/>
        <v>5</v>
      </c>
      <c r="BD104" s="81">
        <f t="shared" si="95"/>
        <v>5</v>
      </c>
      <c r="BE104" s="122"/>
    </row>
    <row r="105" spans="1:57" s="31" customFormat="1" ht="17.5" customHeight="1" thickBot="1" x14ac:dyDescent="0.4">
      <c r="A105" s="241"/>
      <c r="B105" s="243"/>
      <c r="C105" s="245"/>
      <c r="D105" s="241"/>
      <c r="E105" s="155" t="s">
        <v>161</v>
      </c>
      <c r="F105" s="138" t="s">
        <v>162</v>
      </c>
      <c r="G105" s="138">
        <v>3</v>
      </c>
      <c r="H105" s="138">
        <v>1</v>
      </c>
      <c r="I105" s="139">
        <v>3</v>
      </c>
      <c r="J105" s="295"/>
      <c r="K105" s="287"/>
      <c r="L105" s="54">
        <v>3</v>
      </c>
      <c r="M105" s="288"/>
      <c r="N105" s="288"/>
      <c r="O105" s="151">
        <v>1</v>
      </c>
      <c r="P105" s="110" t="s">
        <v>159</v>
      </c>
      <c r="Q105" s="111">
        <v>0.875</v>
      </c>
      <c r="R105" s="111">
        <v>0.3125</v>
      </c>
      <c r="S105" s="111"/>
      <c r="T105" s="111"/>
      <c r="U105" s="126"/>
      <c r="V105" s="132" t="s">
        <v>160</v>
      </c>
      <c r="W105" s="112"/>
      <c r="X105" s="121"/>
      <c r="Y105" s="122"/>
      <c r="Z105" s="113">
        <f t="shared" ref="Z105:Z106" si="98">MOD(Y105-X105,1)*24</f>
        <v>0</v>
      </c>
      <c r="AA105" s="81">
        <f t="shared" si="83"/>
        <v>0</v>
      </c>
      <c r="AB105" s="112"/>
      <c r="AC105" s="121"/>
      <c r="AD105" s="121"/>
      <c r="AE105" s="113">
        <f t="shared" ref="AE105:AE106" si="99">MOD(AD105-AC105,1)*24</f>
        <v>0</v>
      </c>
      <c r="AF105" s="81">
        <f t="shared" si="85"/>
        <v>0</v>
      </c>
      <c r="AG105" s="112"/>
      <c r="AH105" s="121"/>
      <c r="AI105" s="122"/>
      <c r="AJ105" s="113">
        <f t="shared" ref="AJ105:AJ106" si="100">MOD(AI105-AH105,1)*24</f>
        <v>0</v>
      </c>
      <c r="AK105" s="81">
        <f t="shared" si="87"/>
        <v>0</v>
      </c>
      <c r="AL105" s="112"/>
      <c r="AM105" s="121"/>
      <c r="AN105" s="122"/>
      <c r="AO105" s="113">
        <f t="shared" ref="AO105:AO106" si="101">MOD(AN105-AM105,1)*24</f>
        <v>0</v>
      </c>
      <c r="AP105" s="81">
        <f t="shared" si="89"/>
        <v>0</v>
      </c>
      <c r="AQ105" s="112"/>
      <c r="AR105" s="121"/>
      <c r="AS105" s="122"/>
      <c r="AT105" s="113">
        <f t="shared" ref="AT105:AT106" si="102">MOD(AS105-AR105,1)*24</f>
        <v>0</v>
      </c>
      <c r="AU105" s="81">
        <f t="shared" si="91"/>
        <v>0</v>
      </c>
      <c r="AV105" s="112"/>
      <c r="AW105" s="121"/>
      <c r="AX105" s="122"/>
      <c r="AY105" s="113">
        <f t="shared" ref="AY105:AY106" si="103">MOD(AX105-AW105,1)*24</f>
        <v>0</v>
      </c>
      <c r="AZ105" s="81">
        <f t="shared" si="93"/>
        <v>0</v>
      </c>
      <c r="BA105" s="78"/>
      <c r="BB105" s="79">
        <f>AA105+AF105+AK105+AP105+AU105+AZ105</f>
        <v>0</v>
      </c>
      <c r="BC105" s="115">
        <f t="shared" si="94"/>
        <v>3</v>
      </c>
      <c r="BD105" s="81">
        <f t="shared" si="95"/>
        <v>3</v>
      </c>
      <c r="BE105" s="122"/>
    </row>
    <row r="106" spans="1:57" s="31" customFormat="1" ht="17.5" customHeight="1" thickBot="1" x14ac:dyDescent="0.4">
      <c r="A106" s="241"/>
      <c r="B106" s="243"/>
      <c r="C106" s="245"/>
      <c r="D106" s="241"/>
      <c r="E106" s="155" t="s">
        <v>163</v>
      </c>
      <c r="F106" s="138" t="s">
        <v>121</v>
      </c>
      <c r="G106" s="138">
        <v>1</v>
      </c>
      <c r="H106" s="138">
        <v>1</v>
      </c>
      <c r="I106" s="139">
        <v>1</v>
      </c>
      <c r="J106" s="295"/>
      <c r="K106" s="287"/>
      <c r="L106" s="54">
        <v>1</v>
      </c>
      <c r="M106" s="288"/>
      <c r="N106" s="288"/>
      <c r="O106" s="151">
        <v>1</v>
      </c>
      <c r="P106" s="140" t="s">
        <v>164</v>
      </c>
      <c r="Q106" s="111" t="s">
        <v>151</v>
      </c>
      <c r="R106" s="111" t="s">
        <v>152</v>
      </c>
      <c r="S106" s="111"/>
      <c r="T106" s="111"/>
      <c r="U106" s="126"/>
      <c r="V106" s="132" t="s">
        <v>123</v>
      </c>
      <c r="W106" s="112"/>
      <c r="X106" s="121"/>
      <c r="Y106" s="122"/>
      <c r="Z106" s="113">
        <f t="shared" si="98"/>
        <v>0</v>
      </c>
      <c r="AA106" s="81">
        <f t="shared" si="83"/>
        <v>0</v>
      </c>
      <c r="AB106" s="112"/>
      <c r="AC106" s="121"/>
      <c r="AD106" s="121"/>
      <c r="AE106" s="113">
        <f t="shared" si="99"/>
        <v>0</v>
      </c>
      <c r="AF106" s="81">
        <f t="shared" si="85"/>
        <v>0</v>
      </c>
      <c r="AG106" s="112"/>
      <c r="AH106" s="121"/>
      <c r="AI106" s="122"/>
      <c r="AJ106" s="113">
        <f t="shared" si="100"/>
        <v>0</v>
      </c>
      <c r="AK106" s="81">
        <f t="shared" si="87"/>
        <v>0</v>
      </c>
      <c r="AL106" s="112"/>
      <c r="AM106" s="121"/>
      <c r="AN106" s="122"/>
      <c r="AO106" s="113">
        <f t="shared" si="101"/>
        <v>0</v>
      </c>
      <c r="AP106" s="81">
        <f t="shared" si="89"/>
        <v>0</v>
      </c>
      <c r="AQ106" s="112"/>
      <c r="AR106" s="121"/>
      <c r="AS106" s="122"/>
      <c r="AT106" s="113">
        <f t="shared" si="102"/>
        <v>0</v>
      </c>
      <c r="AU106" s="81">
        <f t="shared" si="91"/>
        <v>0</v>
      </c>
      <c r="AV106" s="112"/>
      <c r="AW106" s="121"/>
      <c r="AX106" s="122"/>
      <c r="AY106" s="113">
        <f t="shared" si="103"/>
        <v>0</v>
      </c>
      <c r="AZ106" s="81">
        <f t="shared" si="93"/>
        <v>0</v>
      </c>
      <c r="BA106" s="78"/>
      <c r="BB106" s="79">
        <f>AA106+AF106+AK106+AP106+AU106+AZ106</f>
        <v>0</v>
      </c>
      <c r="BC106" s="115">
        <f t="shared" si="94"/>
        <v>1</v>
      </c>
      <c r="BD106" s="81">
        <f t="shared" si="95"/>
        <v>1</v>
      </c>
      <c r="BE106" s="122"/>
    </row>
    <row r="107" spans="1:57" s="31" customFormat="1" ht="17.5" customHeight="1" thickBot="1" x14ac:dyDescent="0.4">
      <c r="A107" s="241"/>
      <c r="B107" s="243"/>
      <c r="C107" s="245"/>
      <c r="D107" s="241"/>
      <c r="E107" s="258" t="s">
        <v>56</v>
      </c>
      <c r="F107" s="259"/>
      <c r="G107" s="92"/>
      <c r="H107" s="141">
        <f>SUM(H92:H106)</f>
        <v>15</v>
      </c>
      <c r="I107" s="94">
        <f>SUM(I92:I106)</f>
        <v>87</v>
      </c>
      <c r="J107" s="295"/>
      <c r="K107" s="287"/>
      <c r="L107" s="95">
        <f>SUM(L92:L106)</f>
        <v>79</v>
      </c>
      <c r="M107" s="288"/>
      <c r="N107" s="288"/>
      <c r="O107" s="153"/>
      <c r="P107" s="198"/>
      <c r="Q107" s="68"/>
      <c r="R107" s="68"/>
      <c r="S107" s="68"/>
      <c r="T107" s="68"/>
      <c r="U107" s="211"/>
      <c r="V107" s="199"/>
      <c r="W107" s="200"/>
      <c r="X107" s="201"/>
      <c r="Y107" s="202"/>
      <c r="Z107" s="197"/>
      <c r="AA107" s="203"/>
      <c r="AB107" s="200"/>
      <c r="AC107" s="201"/>
      <c r="AD107" s="201"/>
      <c r="AE107" s="195"/>
      <c r="AF107" s="203"/>
      <c r="AG107" s="200"/>
      <c r="AH107" s="201"/>
      <c r="AI107" s="202"/>
      <c r="AJ107" s="197"/>
      <c r="AK107" s="203"/>
      <c r="AL107" s="200"/>
      <c r="AM107" s="201"/>
      <c r="AN107" s="202"/>
      <c r="AO107" s="197"/>
      <c r="AP107" s="203"/>
      <c r="AQ107" s="200"/>
      <c r="AR107" s="201"/>
      <c r="AS107" s="202"/>
      <c r="AT107" s="197"/>
      <c r="AU107" s="203"/>
      <c r="AV107" s="200"/>
      <c r="AW107" s="201"/>
      <c r="AX107" s="202"/>
      <c r="AY107" s="197"/>
      <c r="AZ107" s="203"/>
      <c r="BA107" s="206"/>
      <c r="BB107" s="196"/>
      <c r="BC107" s="197"/>
      <c r="BD107" s="228">
        <f>SUM(BD92:BD106)</f>
        <v>79</v>
      </c>
      <c r="BE107" s="202"/>
    </row>
    <row r="108" spans="1:57" s="31" customFormat="1" ht="17.5" customHeight="1" x14ac:dyDescent="0.35">
      <c r="A108" s="241"/>
      <c r="B108" s="243"/>
      <c r="C108" s="245"/>
      <c r="D108" s="241"/>
      <c r="E108" s="284" t="s">
        <v>39</v>
      </c>
      <c r="F108" s="278" t="s">
        <v>67</v>
      </c>
      <c r="G108" s="278">
        <v>8</v>
      </c>
      <c r="H108" s="278">
        <v>4</v>
      </c>
      <c r="I108" s="281">
        <f>H108*G108</f>
        <v>32</v>
      </c>
      <c r="J108" s="295">
        <f xml:space="preserve"> I121/8</f>
        <v>9.625</v>
      </c>
      <c r="K108" s="287" t="s">
        <v>57</v>
      </c>
      <c r="L108" s="54">
        <v>7</v>
      </c>
      <c r="M108" s="288">
        <f>L121/8</f>
        <v>8.75</v>
      </c>
      <c r="N108" s="288">
        <f>SUM(BD108:BD120)/8</f>
        <v>8.75</v>
      </c>
      <c r="O108" s="148">
        <v>1</v>
      </c>
      <c r="P108" s="82" t="s">
        <v>148</v>
      </c>
      <c r="Q108" s="57">
        <v>0.33333333333333331</v>
      </c>
      <c r="R108" s="57">
        <v>0.5</v>
      </c>
      <c r="S108" s="57"/>
      <c r="T108" s="57"/>
      <c r="U108" s="118"/>
      <c r="V108" s="58" t="s">
        <v>43</v>
      </c>
      <c r="W108" s="59"/>
      <c r="X108" s="83"/>
      <c r="Y108" s="65"/>
      <c r="Z108" s="29">
        <f t="shared" ref="Z108" si="104">(Y108-X108)*24</f>
        <v>0</v>
      </c>
      <c r="AA108" s="64">
        <f t="shared" si="83"/>
        <v>0</v>
      </c>
      <c r="AB108" s="59"/>
      <c r="AC108" s="83"/>
      <c r="AD108" s="83"/>
      <c r="AE108" s="62">
        <f t="shared" ref="AE108" si="105">(AD108-AC108)*24</f>
        <v>0</v>
      </c>
      <c r="AF108" s="64">
        <f t="shared" si="85"/>
        <v>0</v>
      </c>
      <c r="AG108" s="59"/>
      <c r="AH108" s="83"/>
      <c r="AI108" s="65"/>
      <c r="AJ108" s="29">
        <f t="shared" ref="AJ108" si="106">(AI108-AH108)*24</f>
        <v>0</v>
      </c>
      <c r="AK108" s="64">
        <f t="shared" si="87"/>
        <v>0</v>
      </c>
      <c r="AL108" s="59"/>
      <c r="AM108" s="83"/>
      <c r="AN108" s="65"/>
      <c r="AO108" s="29">
        <f t="shared" ref="AO108" si="107">(AN108-AM108)*24</f>
        <v>0</v>
      </c>
      <c r="AP108" s="64">
        <f t="shared" si="89"/>
        <v>0</v>
      </c>
      <c r="AQ108" s="59"/>
      <c r="AR108" s="83"/>
      <c r="AS108" s="65"/>
      <c r="AT108" s="29">
        <f t="shared" ref="AT108" si="108">(AS108-AR108)*24</f>
        <v>0</v>
      </c>
      <c r="AU108" s="64">
        <f t="shared" si="91"/>
        <v>0</v>
      </c>
      <c r="AV108" s="59"/>
      <c r="AW108" s="83"/>
      <c r="AX108" s="65"/>
      <c r="AY108" s="29">
        <f t="shared" ref="AY108" si="109">(AX108-AW108)*24</f>
        <v>0</v>
      </c>
      <c r="AZ108" s="64">
        <f t="shared" si="93"/>
        <v>0</v>
      </c>
      <c r="BA108" s="62"/>
      <c r="BB108" s="63">
        <f t="shared" ref="BB108:BB132" si="110">AA108+AF108+AK108+AP108+AU108+AZ108</f>
        <v>0</v>
      </c>
      <c r="BC108" s="13">
        <f t="shared" ref="BC108:BC120" si="111">IF(BB108&gt;0, BB108, IF(BB108=0, L108))</f>
        <v>7</v>
      </c>
      <c r="BD108" s="64">
        <f t="shared" ref="BD108:BD120" si="112">IF(BA108=1, (BC108-L108), IF(BA108=0, BC108))</f>
        <v>7</v>
      </c>
      <c r="BE108" s="65"/>
    </row>
    <row r="109" spans="1:57" s="31" customFormat="1" ht="17.5" customHeight="1" x14ac:dyDescent="0.35">
      <c r="A109" s="241"/>
      <c r="B109" s="243"/>
      <c r="C109" s="245"/>
      <c r="D109" s="241"/>
      <c r="E109" s="317"/>
      <c r="F109" s="279"/>
      <c r="G109" s="279"/>
      <c r="H109" s="279"/>
      <c r="I109" s="282"/>
      <c r="J109" s="295"/>
      <c r="K109" s="287"/>
      <c r="L109" s="54">
        <v>7</v>
      </c>
      <c r="M109" s="288"/>
      <c r="N109" s="288"/>
      <c r="O109" s="149">
        <v>2</v>
      </c>
      <c r="P109" s="74" t="s">
        <v>165</v>
      </c>
      <c r="Q109" s="26">
        <v>0.33333333333333331</v>
      </c>
      <c r="R109" s="26">
        <v>0.5</v>
      </c>
      <c r="S109" s="26"/>
      <c r="T109" s="26"/>
      <c r="U109" s="118"/>
      <c r="V109" s="69" t="s">
        <v>43</v>
      </c>
      <c r="W109" s="70"/>
      <c r="X109" s="28"/>
      <c r="Y109" s="73"/>
      <c r="Z109" s="29">
        <f>(Y109-X109)*24</f>
        <v>0</v>
      </c>
      <c r="AA109" s="64">
        <f t="shared" si="83"/>
        <v>0</v>
      </c>
      <c r="AB109" s="70"/>
      <c r="AC109" s="28"/>
      <c r="AD109" s="28"/>
      <c r="AE109" s="62">
        <f>(AD109-AC109)*24</f>
        <v>0</v>
      </c>
      <c r="AF109" s="64">
        <f t="shared" si="85"/>
        <v>0</v>
      </c>
      <c r="AG109" s="70"/>
      <c r="AH109" s="28"/>
      <c r="AI109" s="73"/>
      <c r="AJ109" s="29">
        <f>(AI109-AH109)*24</f>
        <v>0</v>
      </c>
      <c r="AK109" s="64">
        <f t="shared" si="87"/>
        <v>0</v>
      </c>
      <c r="AL109" s="70"/>
      <c r="AM109" s="28"/>
      <c r="AN109" s="73"/>
      <c r="AO109" s="29">
        <f>(AN109-AM109)*24</f>
        <v>0</v>
      </c>
      <c r="AP109" s="64">
        <f t="shared" si="89"/>
        <v>0</v>
      </c>
      <c r="AQ109" s="70"/>
      <c r="AR109" s="28"/>
      <c r="AS109" s="73"/>
      <c r="AT109" s="29">
        <f>(AS109-AR109)*24</f>
        <v>0</v>
      </c>
      <c r="AU109" s="64">
        <f t="shared" si="91"/>
        <v>0</v>
      </c>
      <c r="AV109" s="70"/>
      <c r="AW109" s="28"/>
      <c r="AX109" s="73"/>
      <c r="AY109" s="29">
        <f>(AX109-AW109)*24</f>
        <v>0</v>
      </c>
      <c r="AZ109" s="64">
        <f t="shared" si="93"/>
        <v>0</v>
      </c>
      <c r="BA109" s="62"/>
      <c r="BB109" s="63">
        <f t="shared" si="110"/>
        <v>0</v>
      </c>
      <c r="BC109" s="13">
        <f t="shared" si="111"/>
        <v>7</v>
      </c>
      <c r="BD109" s="64">
        <f t="shared" si="112"/>
        <v>7</v>
      </c>
      <c r="BE109" s="73"/>
    </row>
    <row r="110" spans="1:57" s="31" customFormat="1" ht="17.5" customHeight="1" x14ac:dyDescent="0.35">
      <c r="A110" s="241"/>
      <c r="B110" s="243"/>
      <c r="C110" s="245"/>
      <c r="D110" s="241"/>
      <c r="E110" s="317"/>
      <c r="F110" s="279"/>
      <c r="G110" s="279"/>
      <c r="H110" s="279"/>
      <c r="I110" s="282"/>
      <c r="J110" s="295"/>
      <c r="K110" s="287"/>
      <c r="L110" s="54">
        <v>7</v>
      </c>
      <c r="M110" s="288"/>
      <c r="N110" s="288"/>
      <c r="O110" s="149">
        <v>3</v>
      </c>
      <c r="P110" s="67" t="s">
        <v>147</v>
      </c>
      <c r="Q110" s="26">
        <v>0.33333333333333331</v>
      </c>
      <c r="R110" s="26">
        <v>0.54166666666666663</v>
      </c>
      <c r="S110" s="26"/>
      <c r="T110" s="26"/>
      <c r="U110" s="118"/>
      <c r="V110" s="69" t="s">
        <v>110</v>
      </c>
      <c r="W110" s="70"/>
      <c r="X110" s="28"/>
      <c r="Y110" s="73"/>
      <c r="Z110" s="29">
        <f>(Y110-X110)*24</f>
        <v>0</v>
      </c>
      <c r="AA110" s="64">
        <f t="shared" si="83"/>
        <v>0</v>
      </c>
      <c r="AB110" s="70"/>
      <c r="AC110" s="28"/>
      <c r="AD110" s="28"/>
      <c r="AE110" s="62">
        <f>(AD110-AC110)*24</f>
        <v>0</v>
      </c>
      <c r="AF110" s="64">
        <f t="shared" si="85"/>
        <v>0</v>
      </c>
      <c r="AG110" s="70"/>
      <c r="AH110" s="28"/>
      <c r="AI110" s="73"/>
      <c r="AJ110" s="29">
        <f>(AI110-AH110)*24</f>
        <v>0</v>
      </c>
      <c r="AK110" s="64">
        <f t="shared" si="87"/>
        <v>0</v>
      </c>
      <c r="AL110" s="70"/>
      <c r="AM110" s="28"/>
      <c r="AN110" s="73"/>
      <c r="AO110" s="29">
        <f>(AN110-AM110)*24</f>
        <v>0</v>
      </c>
      <c r="AP110" s="64">
        <f t="shared" si="89"/>
        <v>0</v>
      </c>
      <c r="AQ110" s="70"/>
      <c r="AR110" s="28"/>
      <c r="AS110" s="73"/>
      <c r="AT110" s="29">
        <f>(AS110-AR110)*24</f>
        <v>0</v>
      </c>
      <c r="AU110" s="64">
        <f t="shared" si="91"/>
        <v>0</v>
      </c>
      <c r="AV110" s="70"/>
      <c r="AW110" s="28"/>
      <c r="AX110" s="73"/>
      <c r="AY110" s="29">
        <f>(AX110-AW110)*24</f>
        <v>0</v>
      </c>
      <c r="AZ110" s="64">
        <f t="shared" si="93"/>
        <v>0</v>
      </c>
      <c r="BA110" s="62"/>
      <c r="BB110" s="63">
        <f t="shared" si="110"/>
        <v>0</v>
      </c>
      <c r="BC110" s="13">
        <f t="shared" si="111"/>
        <v>7</v>
      </c>
      <c r="BD110" s="64">
        <f t="shared" si="112"/>
        <v>7</v>
      </c>
      <c r="BE110" s="73"/>
    </row>
    <row r="111" spans="1:57" s="31" customFormat="1" ht="17.5" customHeight="1" thickBot="1" x14ac:dyDescent="0.4">
      <c r="A111" s="241"/>
      <c r="B111" s="243"/>
      <c r="C111" s="245"/>
      <c r="D111" s="241"/>
      <c r="E111" s="285"/>
      <c r="F111" s="280"/>
      <c r="G111" s="280"/>
      <c r="H111" s="280"/>
      <c r="I111" s="283"/>
      <c r="J111" s="295"/>
      <c r="K111" s="287"/>
      <c r="L111" s="54">
        <v>7</v>
      </c>
      <c r="M111" s="288"/>
      <c r="N111" s="288"/>
      <c r="O111" s="150">
        <v>4</v>
      </c>
      <c r="P111" s="98" t="s">
        <v>166</v>
      </c>
      <c r="Q111" s="86">
        <v>0.29166666666666669</v>
      </c>
      <c r="R111" s="86">
        <v>0.79166666666666663</v>
      </c>
      <c r="S111" s="86"/>
      <c r="T111" s="86"/>
      <c r="U111" s="126"/>
      <c r="V111" s="88" t="s">
        <v>136</v>
      </c>
      <c r="W111" s="89"/>
      <c r="X111" s="90"/>
      <c r="Y111" s="91"/>
      <c r="Z111" s="77">
        <f t="shared" ref="Z111:Z117" si="113">(Y111-X111)*24</f>
        <v>0</v>
      </c>
      <c r="AA111" s="81">
        <f t="shared" si="83"/>
        <v>0</v>
      </c>
      <c r="AB111" s="89"/>
      <c r="AC111" s="90"/>
      <c r="AD111" s="90"/>
      <c r="AE111" s="78">
        <f t="shared" ref="AE111:AE117" si="114">(AD111-AC111)*24</f>
        <v>0</v>
      </c>
      <c r="AF111" s="81">
        <f t="shared" si="85"/>
        <v>0</v>
      </c>
      <c r="AG111" s="89"/>
      <c r="AH111" s="90"/>
      <c r="AI111" s="91"/>
      <c r="AJ111" s="77">
        <f t="shared" ref="AJ111:AJ117" si="115">(AI111-AH111)*24</f>
        <v>0</v>
      </c>
      <c r="AK111" s="81">
        <f t="shared" si="87"/>
        <v>0</v>
      </c>
      <c r="AL111" s="89"/>
      <c r="AM111" s="90"/>
      <c r="AN111" s="91"/>
      <c r="AO111" s="77">
        <f t="shared" ref="AO111:AO117" si="116">(AN111-AM111)*24</f>
        <v>0</v>
      </c>
      <c r="AP111" s="81">
        <f t="shared" si="89"/>
        <v>0</v>
      </c>
      <c r="AQ111" s="89"/>
      <c r="AR111" s="90"/>
      <c r="AS111" s="91"/>
      <c r="AT111" s="77">
        <f t="shared" ref="AT111:AT117" si="117">(AS111-AR111)*24</f>
        <v>0</v>
      </c>
      <c r="AU111" s="81">
        <f t="shared" si="91"/>
        <v>0</v>
      </c>
      <c r="AV111" s="89"/>
      <c r="AW111" s="90"/>
      <c r="AX111" s="91"/>
      <c r="AY111" s="77">
        <f t="shared" ref="AY111:AY117" si="118">(AX111-AW111)*24</f>
        <v>0</v>
      </c>
      <c r="AZ111" s="81">
        <f t="shared" si="93"/>
        <v>0</v>
      </c>
      <c r="BA111" s="78"/>
      <c r="BB111" s="79">
        <f t="shared" si="110"/>
        <v>0</v>
      </c>
      <c r="BC111" s="80">
        <f t="shared" si="111"/>
        <v>7</v>
      </c>
      <c r="BD111" s="81">
        <f t="shared" si="112"/>
        <v>7</v>
      </c>
      <c r="BE111" s="91"/>
    </row>
    <row r="112" spans="1:57" s="31" customFormat="1" ht="17.5" customHeight="1" thickBot="1" x14ac:dyDescent="0.4">
      <c r="A112" s="241"/>
      <c r="B112" s="243"/>
      <c r="C112" s="245"/>
      <c r="D112" s="241"/>
      <c r="E112" s="154" t="s">
        <v>71</v>
      </c>
      <c r="F112" s="51" t="s">
        <v>153</v>
      </c>
      <c r="G112" s="51">
        <v>5</v>
      </c>
      <c r="H112" s="51">
        <v>1</v>
      </c>
      <c r="I112" s="108">
        <f>H112*G112</f>
        <v>5</v>
      </c>
      <c r="J112" s="295"/>
      <c r="K112" s="287"/>
      <c r="L112" s="54">
        <v>5</v>
      </c>
      <c r="M112" s="288"/>
      <c r="N112" s="288"/>
      <c r="O112" s="150">
        <v>1</v>
      </c>
      <c r="P112" s="98"/>
      <c r="Q112" s="86"/>
      <c r="R112" s="86"/>
      <c r="S112" s="86"/>
      <c r="T112" s="86"/>
      <c r="U112" s="126"/>
      <c r="V112" s="88"/>
      <c r="W112" s="89"/>
      <c r="X112" s="90"/>
      <c r="Y112" s="91"/>
      <c r="Z112" s="113">
        <f t="shared" si="113"/>
        <v>0</v>
      </c>
      <c r="AA112" s="81">
        <f t="shared" si="83"/>
        <v>0</v>
      </c>
      <c r="AB112" s="89"/>
      <c r="AC112" s="90"/>
      <c r="AD112" s="90"/>
      <c r="AE112" s="123">
        <f t="shared" si="114"/>
        <v>0</v>
      </c>
      <c r="AF112" s="81">
        <f t="shared" si="85"/>
        <v>0</v>
      </c>
      <c r="AG112" s="89"/>
      <c r="AH112" s="90"/>
      <c r="AI112" s="91"/>
      <c r="AJ112" s="113">
        <f t="shared" si="115"/>
        <v>0</v>
      </c>
      <c r="AK112" s="81">
        <f t="shared" si="87"/>
        <v>0</v>
      </c>
      <c r="AL112" s="89"/>
      <c r="AM112" s="90"/>
      <c r="AN112" s="91"/>
      <c r="AO112" s="113">
        <f t="shared" si="116"/>
        <v>0</v>
      </c>
      <c r="AP112" s="81">
        <f t="shared" si="89"/>
        <v>0</v>
      </c>
      <c r="AQ112" s="89"/>
      <c r="AR112" s="90"/>
      <c r="AS112" s="91"/>
      <c r="AT112" s="113">
        <f t="shared" si="117"/>
        <v>0</v>
      </c>
      <c r="AU112" s="81">
        <f t="shared" si="91"/>
        <v>0</v>
      </c>
      <c r="AV112" s="89"/>
      <c r="AW112" s="90"/>
      <c r="AX112" s="91"/>
      <c r="AY112" s="113">
        <f t="shared" si="118"/>
        <v>0</v>
      </c>
      <c r="AZ112" s="81">
        <f t="shared" si="93"/>
        <v>0</v>
      </c>
      <c r="BA112" s="78"/>
      <c r="BB112" s="79">
        <f t="shared" si="110"/>
        <v>0</v>
      </c>
      <c r="BC112" s="115">
        <f t="shared" si="111"/>
        <v>5</v>
      </c>
      <c r="BD112" s="81">
        <f t="shared" si="112"/>
        <v>5</v>
      </c>
      <c r="BE112" s="91"/>
    </row>
    <row r="113" spans="1:57" s="31" customFormat="1" ht="17.5" customHeight="1" thickBot="1" x14ac:dyDescent="0.4">
      <c r="A113" s="241"/>
      <c r="B113" s="243"/>
      <c r="C113" s="245"/>
      <c r="D113" s="241"/>
      <c r="E113" s="51" t="s">
        <v>81</v>
      </c>
      <c r="F113" s="51" t="s">
        <v>52</v>
      </c>
      <c r="G113" s="51">
        <v>2</v>
      </c>
      <c r="H113" s="51">
        <v>1</v>
      </c>
      <c r="I113" s="108">
        <f>H113*G113</f>
        <v>2</v>
      </c>
      <c r="J113" s="295"/>
      <c r="K113" s="287"/>
      <c r="L113" s="54">
        <v>2</v>
      </c>
      <c r="M113" s="288"/>
      <c r="N113" s="288"/>
      <c r="O113" s="151">
        <v>1</v>
      </c>
      <c r="P113" s="120"/>
      <c r="Q113" s="111"/>
      <c r="R113" s="111"/>
      <c r="S113" s="111"/>
      <c r="T113" s="111"/>
      <c r="U113" s="126"/>
      <c r="V113" s="132"/>
      <c r="W113" s="112"/>
      <c r="X113" s="121"/>
      <c r="Y113" s="122"/>
      <c r="Z113" s="113">
        <f t="shared" si="113"/>
        <v>0</v>
      </c>
      <c r="AA113" s="81">
        <f t="shared" si="83"/>
        <v>0</v>
      </c>
      <c r="AB113" s="112"/>
      <c r="AC113" s="121"/>
      <c r="AD113" s="121"/>
      <c r="AE113" s="123">
        <f t="shared" si="114"/>
        <v>0</v>
      </c>
      <c r="AF113" s="81">
        <f t="shared" si="85"/>
        <v>0</v>
      </c>
      <c r="AG113" s="112"/>
      <c r="AH113" s="121"/>
      <c r="AI113" s="122"/>
      <c r="AJ113" s="113">
        <f t="shared" si="115"/>
        <v>0</v>
      </c>
      <c r="AK113" s="81">
        <f t="shared" si="87"/>
        <v>0</v>
      </c>
      <c r="AL113" s="112"/>
      <c r="AM113" s="121"/>
      <c r="AN113" s="122"/>
      <c r="AO113" s="113">
        <f t="shared" si="116"/>
        <v>0</v>
      </c>
      <c r="AP113" s="81">
        <f t="shared" si="89"/>
        <v>0</v>
      </c>
      <c r="AQ113" s="112"/>
      <c r="AR113" s="121"/>
      <c r="AS113" s="122"/>
      <c r="AT113" s="113">
        <f t="shared" si="117"/>
        <v>0</v>
      </c>
      <c r="AU113" s="81">
        <f t="shared" si="91"/>
        <v>0</v>
      </c>
      <c r="AV113" s="112"/>
      <c r="AW113" s="121"/>
      <c r="AX113" s="122"/>
      <c r="AY113" s="113">
        <f t="shared" si="118"/>
        <v>0</v>
      </c>
      <c r="AZ113" s="81">
        <f t="shared" si="93"/>
        <v>0</v>
      </c>
      <c r="BA113" s="78"/>
      <c r="BB113" s="79">
        <f t="shared" si="110"/>
        <v>0</v>
      </c>
      <c r="BC113" s="115">
        <f t="shared" si="111"/>
        <v>2</v>
      </c>
      <c r="BD113" s="81">
        <f t="shared" si="112"/>
        <v>2</v>
      </c>
      <c r="BE113" s="122"/>
    </row>
    <row r="114" spans="1:57" s="31" customFormat="1" ht="17.5" customHeight="1" thickBot="1" x14ac:dyDescent="0.4">
      <c r="A114" s="241"/>
      <c r="B114" s="243"/>
      <c r="C114" s="245"/>
      <c r="D114" s="241"/>
      <c r="E114" s="51" t="s">
        <v>81</v>
      </c>
      <c r="F114" s="51" t="s">
        <v>53</v>
      </c>
      <c r="G114" s="51">
        <v>8</v>
      </c>
      <c r="H114" s="51">
        <v>1</v>
      </c>
      <c r="I114" s="108">
        <f>H114*G114</f>
        <v>8</v>
      </c>
      <c r="J114" s="295"/>
      <c r="K114" s="287"/>
      <c r="L114" s="54">
        <v>7</v>
      </c>
      <c r="M114" s="288"/>
      <c r="N114" s="288"/>
      <c r="O114" s="151">
        <v>1</v>
      </c>
      <c r="P114" s="120" t="s">
        <v>167</v>
      </c>
      <c r="Q114" s="111">
        <v>0.45833333333333331</v>
      </c>
      <c r="R114" s="111">
        <v>0.79166666666666663</v>
      </c>
      <c r="S114" s="111"/>
      <c r="T114" s="111"/>
      <c r="U114" s="126"/>
      <c r="V114" s="132" t="s">
        <v>43</v>
      </c>
      <c r="W114" s="112"/>
      <c r="X114" s="121"/>
      <c r="Y114" s="122"/>
      <c r="Z114" s="113">
        <f t="shared" si="113"/>
        <v>0</v>
      </c>
      <c r="AA114" s="81">
        <f t="shared" si="83"/>
        <v>0</v>
      </c>
      <c r="AB114" s="112"/>
      <c r="AC114" s="121"/>
      <c r="AD114" s="121"/>
      <c r="AE114" s="123">
        <f t="shared" si="114"/>
        <v>0</v>
      </c>
      <c r="AF114" s="81">
        <f t="shared" si="85"/>
        <v>0</v>
      </c>
      <c r="AG114" s="112"/>
      <c r="AH114" s="121"/>
      <c r="AI114" s="122"/>
      <c r="AJ114" s="113">
        <f t="shared" si="115"/>
        <v>0</v>
      </c>
      <c r="AK114" s="81">
        <f t="shared" si="87"/>
        <v>0</v>
      </c>
      <c r="AL114" s="112"/>
      <c r="AM114" s="121"/>
      <c r="AN114" s="122"/>
      <c r="AO114" s="113">
        <f t="shared" si="116"/>
        <v>0</v>
      </c>
      <c r="AP114" s="81">
        <f t="shared" si="89"/>
        <v>0</v>
      </c>
      <c r="AQ114" s="112"/>
      <c r="AR114" s="121"/>
      <c r="AS114" s="122"/>
      <c r="AT114" s="113">
        <f t="shared" si="117"/>
        <v>0</v>
      </c>
      <c r="AU114" s="81">
        <f t="shared" si="91"/>
        <v>0</v>
      </c>
      <c r="AV114" s="112"/>
      <c r="AW114" s="121"/>
      <c r="AX114" s="122"/>
      <c r="AY114" s="113">
        <f t="shared" si="118"/>
        <v>0</v>
      </c>
      <c r="AZ114" s="81">
        <f t="shared" si="93"/>
        <v>0</v>
      </c>
      <c r="BA114" s="78"/>
      <c r="BB114" s="79">
        <f t="shared" si="110"/>
        <v>0</v>
      </c>
      <c r="BC114" s="115">
        <f t="shared" si="111"/>
        <v>7</v>
      </c>
      <c r="BD114" s="81">
        <f t="shared" si="112"/>
        <v>7</v>
      </c>
      <c r="BE114" s="122"/>
    </row>
    <row r="115" spans="1:57" s="31" customFormat="1" ht="17.5" customHeight="1" x14ac:dyDescent="0.35">
      <c r="A115" s="241"/>
      <c r="B115" s="243"/>
      <c r="C115" s="245"/>
      <c r="D115" s="241"/>
      <c r="E115" s="278" t="s">
        <v>52</v>
      </c>
      <c r="F115" s="278" t="s">
        <v>83</v>
      </c>
      <c r="G115" s="278">
        <v>8</v>
      </c>
      <c r="H115" s="278">
        <v>2</v>
      </c>
      <c r="I115" s="281">
        <f>H115*G115</f>
        <v>16</v>
      </c>
      <c r="J115" s="295"/>
      <c r="K115" s="287"/>
      <c r="L115" s="54">
        <v>7</v>
      </c>
      <c r="M115" s="288"/>
      <c r="N115" s="288"/>
      <c r="O115" s="148">
        <v>1</v>
      </c>
      <c r="P115" s="56" t="s">
        <v>155</v>
      </c>
      <c r="Q115" s="57">
        <v>0.66666666666666663</v>
      </c>
      <c r="R115" s="57">
        <v>0.875</v>
      </c>
      <c r="S115" s="57"/>
      <c r="T115" s="57"/>
      <c r="U115" s="210"/>
      <c r="V115" s="58" t="s">
        <v>110</v>
      </c>
      <c r="W115" s="59"/>
      <c r="X115" s="83"/>
      <c r="Y115" s="65"/>
      <c r="Z115" s="29">
        <f t="shared" si="113"/>
        <v>0</v>
      </c>
      <c r="AA115" s="64">
        <f t="shared" si="83"/>
        <v>0</v>
      </c>
      <c r="AB115" s="59"/>
      <c r="AC115" s="83"/>
      <c r="AD115" s="83"/>
      <c r="AE115" s="62">
        <f t="shared" si="114"/>
        <v>0</v>
      </c>
      <c r="AF115" s="64">
        <f t="shared" si="85"/>
        <v>0</v>
      </c>
      <c r="AG115" s="59"/>
      <c r="AH115" s="83"/>
      <c r="AI115" s="65"/>
      <c r="AJ115" s="29">
        <f t="shared" si="115"/>
        <v>0</v>
      </c>
      <c r="AK115" s="64">
        <f t="shared" si="87"/>
        <v>0</v>
      </c>
      <c r="AL115" s="59"/>
      <c r="AM115" s="83"/>
      <c r="AN115" s="65"/>
      <c r="AO115" s="29">
        <f t="shared" si="116"/>
        <v>0</v>
      </c>
      <c r="AP115" s="64">
        <f t="shared" si="89"/>
        <v>0</v>
      </c>
      <c r="AQ115" s="59"/>
      <c r="AR115" s="83"/>
      <c r="AS115" s="65"/>
      <c r="AT115" s="29">
        <f t="shared" si="117"/>
        <v>0</v>
      </c>
      <c r="AU115" s="64">
        <f t="shared" si="91"/>
        <v>0</v>
      </c>
      <c r="AV115" s="59"/>
      <c r="AW115" s="83"/>
      <c r="AX115" s="65"/>
      <c r="AY115" s="29">
        <f t="shared" si="118"/>
        <v>0</v>
      </c>
      <c r="AZ115" s="64">
        <f t="shared" si="93"/>
        <v>0</v>
      </c>
      <c r="BA115" s="62"/>
      <c r="BB115" s="63">
        <f t="shared" si="110"/>
        <v>0</v>
      </c>
      <c r="BC115" s="13">
        <f t="shared" si="111"/>
        <v>7</v>
      </c>
      <c r="BD115" s="64">
        <f t="shared" si="112"/>
        <v>7</v>
      </c>
      <c r="BE115" s="65"/>
    </row>
    <row r="116" spans="1:57" s="31" customFormat="1" ht="17.5" customHeight="1" thickBot="1" x14ac:dyDescent="0.4">
      <c r="A116" s="241"/>
      <c r="B116" s="243"/>
      <c r="C116" s="245"/>
      <c r="D116" s="241"/>
      <c r="E116" s="280"/>
      <c r="F116" s="280"/>
      <c r="G116" s="280"/>
      <c r="H116" s="280"/>
      <c r="I116" s="283"/>
      <c r="J116" s="295"/>
      <c r="K116" s="287"/>
      <c r="L116" s="54">
        <v>7</v>
      </c>
      <c r="M116" s="288"/>
      <c r="N116" s="288"/>
      <c r="O116" s="150">
        <v>2</v>
      </c>
      <c r="P116" s="98" t="s">
        <v>132</v>
      </c>
      <c r="Q116" s="86">
        <v>0.375</v>
      </c>
      <c r="R116" s="86">
        <v>0.875</v>
      </c>
      <c r="S116" s="86"/>
      <c r="T116" s="86"/>
      <c r="U116" s="126"/>
      <c r="V116" s="88" t="s">
        <v>105</v>
      </c>
      <c r="W116" s="89"/>
      <c r="X116" s="90"/>
      <c r="Y116" s="91"/>
      <c r="Z116" s="77">
        <f t="shared" si="113"/>
        <v>0</v>
      </c>
      <c r="AA116" s="81">
        <f t="shared" si="83"/>
        <v>0</v>
      </c>
      <c r="AB116" s="89"/>
      <c r="AC116" s="90"/>
      <c r="AD116" s="90"/>
      <c r="AE116" s="78">
        <f t="shared" si="114"/>
        <v>0</v>
      </c>
      <c r="AF116" s="81">
        <f t="shared" si="85"/>
        <v>0</v>
      </c>
      <c r="AG116" s="89"/>
      <c r="AH116" s="90"/>
      <c r="AI116" s="91"/>
      <c r="AJ116" s="77">
        <f t="shared" si="115"/>
        <v>0</v>
      </c>
      <c r="AK116" s="81">
        <f t="shared" si="87"/>
        <v>0</v>
      </c>
      <c r="AL116" s="89"/>
      <c r="AM116" s="90"/>
      <c r="AN116" s="91"/>
      <c r="AO116" s="77">
        <f t="shared" si="116"/>
        <v>0</v>
      </c>
      <c r="AP116" s="81">
        <f t="shared" si="89"/>
        <v>0</v>
      </c>
      <c r="AQ116" s="89"/>
      <c r="AR116" s="90"/>
      <c r="AS116" s="91"/>
      <c r="AT116" s="77">
        <f t="shared" si="117"/>
        <v>0</v>
      </c>
      <c r="AU116" s="81">
        <f t="shared" si="91"/>
        <v>0</v>
      </c>
      <c r="AV116" s="89"/>
      <c r="AW116" s="90"/>
      <c r="AX116" s="91"/>
      <c r="AY116" s="77">
        <f t="shared" si="118"/>
        <v>0</v>
      </c>
      <c r="AZ116" s="81">
        <f t="shared" si="93"/>
        <v>0</v>
      </c>
      <c r="BA116" s="78"/>
      <c r="BB116" s="79">
        <f t="shared" si="110"/>
        <v>0</v>
      </c>
      <c r="BC116" s="80">
        <f t="shared" si="111"/>
        <v>7</v>
      </c>
      <c r="BD116" s="81">
        <f t="shared" si="112"/>
        <v>7</v>
      </c>
      <c r="BE116" s="91"/>
    </row>
    <row r="117" spans="1:57" s="31" customFormat="1" ht="17.5" customHeight="1" thickBot="1" x14ac:dyDescent="0.4">
      <c r="A117" s="241"/>
      <c r="B117" s="243"/>
      <c r="C117" s="245"/>
      <c r="D117" s="241"/>
      <c r="E117" s="156" t="s">
        <v>67</v>
      </c>
      <c r="F117" s="135" t="s">
        <v>83</v>
      </c>
      <c r="G117" s="135">
        <v>5</v>
      </c>
      <c r="H117" s="135">
        <v>1</v>
      </c>
      <c r="I117" s="136">
        <v>5</v>
      </c>
      <c r="J117" s="295"/>
      <c r="K117" s="287"/>
      <c r="L117" s="54">
        <v>5</v>
      </c>
      <c r="M117" s="288"/>
      <c r="N117" s="288"/>
      <c r="O117" s="151">
        <v>1</v>
      </c>
      <c r="P117" s="120" t="s">
        <v>95</v>
      </c>
      <c r="Q117" s="111">
        <v>0.375</v>
      </c>
      <c r="R117" s="111">
        <v>0.875</v>
      </c>
      <c r="S117" s="111"/>
      <c r="T117" s="111"/>
      <c r="U117" s="126"/>
      <c r="V117" s="132" t="s">
        <v>89</v>
      </c>
      <c r="W117" s="112"/>
      <c r="X117" s="121"/>
      <c r="Y117" s="122"/>
      <c r="Z117" s="113">
        <f t="shared" si="113"/>
        <v>0</v>
      </c>
      <c r="AA117" s="81">
        <f t="shared" si="83"/>
        <v>0</v>
      </c>
      <c r="AB117" s="112"/>
      <c r="AC117" s="121"/>
      <c r="AD117" s="121"/>
      <c r="AE117" s="123">
        <f t="shared" si="114"/>
        <v>0</v>
      </c>
      <c r="AF117" s="81">
        <f t="shared" si="85"/>
        <v>0</v>
      </c>
      <c r="AG117" s="112"/>
      <c r="AH117" s="121"/>
      <c r="AI117" s="122"/>
      <c r="AJ117" s="113">
        <f t="shared" si="115"/>
        <v>0</v>
      </c>
      <c r="AK117" s="81">
        <f t="shared" si="87"/>
        <v>0</v>
      </c>
      <c r="AL117" s="112"/>
      <c r="AM117" s="121"/>
      <c r="AN117" s="122"/>
      <c r="AO117" s="113">
        <f t="shared" si="116"/>
        <v>0</v>
      </c>
      <c r="AP117" s="81">
        <f t="shared" si="89"/>
        <v>0</v>
      </c>
      <c r="AQ117" s="112"/>
      <c r="AR117" s="121"/>
      <c r="AS117" s="122"/>
      <c r="AT117" s="113">
        <f t="shared" si="117"/>
        <v>0</v>
      </c>
      <c r="AU117" s="81">
        <f t="shared" si="91"/>
        <v>0</v>
      </c>
      <c r="AV117" s="112"/>
      <c r="AW117" s="121"/>
      <c r="AX117" s="122"/>
      <c r="AY117" s="113">
        <f t="shared" si="118"/>
        <v>0</v>
      </c>
      <c r="AZ117" s="81">
        <f t="shared" si="93"/>
        <v>0</v>
      </c>
      <c r="BA117" s="78"/>
      <c r="BB117" s="79">
        <f t="shared" si="110"/>
        <v>0</v>
      </c>
      <c r="BC117" s="115">
        <f t="shared" si="111"/>
        <v>5</v>
      </c>
      <c r="BD117" s="81">
        <f t="shared" si="112"/>
        <v>5</v>
      </c>
      <c r="BE117" s="122"/>
    </row>
    <row r="118" spans="1:57" s="31" customFormat="1" ht="17.5" customHeight="1" thickBot="1" x14ac:dyDescent="0.4">
      <c r="A118" s="241"/>
      <c r="B118" s="243"/>
      <c r="C118" s="245"/>
      <c r="D118" s="241"/>
      <c r="E118" s="155" t="s">
        <v>83</v>
      </c>
      <c r="F118" s="138" t="s">
        <v>158</v>
      </c>
      <c r="G118" s="138">
        <v>5</v>
      </c>
      <c r="H118" s="138">
        <v>1</v>
      </c>
      <c r="I118" s="139">
        <v>5</v>
      </c>
      <c r="J118" s="295"/>
      <c r="K118" s="287"/>
      <c r="L118" s="54">
        <v>5</v>
      </c>
      <c r="M118" s="288"/>
      <c r="N118" s="288"/>
      <c r="O118" s="151">
        <v>1</v>
      </c>
      <c r="P118" s="110" t="s">
        <v>159</v>
      </c>
      <c r="Q118" s="111">
        <v>0.875</v>
      </c>
      <c r="R118" s="111">
        <v>0.3125</v>
      </c>
      <c r="S118" s="111"/>
      <c r="T118" s="111"/>
      <c r="U118" s="126"/>
      <c r="V118" s="132" t="s">
        <v>160</v>
      </c>
      <c r="W118" s="112"/>
      <c r="X118" s="121"/>
      <c r="Y118" s="122"/>
      <c r="Z118" s="113">
        <f>MOD(Y118-X118,1)*24</f>
        <v>0</v>
      </c>
      <c r="AA118" s="81">
        <f t="shared" si="83"/>
        <v>0</v>
      </c>
      <c r="AB118" s="112"/>
      <c r="AC118" s="121"/>
      <c r="AD118" s="121"/>
      <c r="AE118" s="113">
        <f>MOD(AD118-AC118,1)*24</f>
        <v>0</v>
      </c>
      <c r="AF118" s="81">
        <f t="shared" si="85"/>
        <v>0</v>
      </c>
      <c r="AG118" s="112"/>
      <c r="AH118" s="121"/>
      <c r="AI118" s="122"/>
      <c r="AJ118" s="113">
        <f>MOD(AI118-AH118,1)*24</f>
        <v>0</v>
      </c>
      <c r="AK118" s="81">
        <f t="shared" si="87"/>
        <v>0</v>
      </c>
      <c r="AL118" s="112"/>
      <c r="AM118" s="121"/>
      <c r="AN118" s="122"/>
      <c r="AO118" s="113">
        <f>MOD(AN118-AM118,1)*24</f>
        <v>0</v>
      </c>
      <c r="AP118" s="81">
        <f t="shared" si="89"/>
        <v>0</v>
      </c>
      <c r="AQ118" s="112"/>
      <c r="AR118" s="121"/>
      <c r="AS118" s="122"/>
      <c r="AT118" s="113">
        <f>MOD(AS118-AR118,1)*24</f>
        <v>0</v>
      </c>
      <c r="AU118" s="81">
        <f t="shared" si="91"/>
        <v>0</v>
      </c>
      <c r="AV118" s="112"/>
      <c r="AW118" s="121"/>
      <c r="AX118" s="122"/>
      <c r="AY118" s="113">
        <f>MOD(AX118-AW118,1)*24</f>
        <v>0</v>
      </c>
      <c r="AZ118" s="81">
        <f t="shared" si="93"/>
        <v>0</v>
      </c>
      <c r="BA118" s="78"/>
      <c r="BB118" s="79">
        <f t="shared" si="110"/>
        <v>0</v>
      </c>
      <c r="BC118" s="115">
        <f t="shared" si="111"/>
        <v>5</v>
      </c>
      <c r="BD118" s="81">
        <f t="shared" si="112"/>
        <v>5</v>
      </c>
      <c r="BE118" s="122"/>
    </row>
    <row r="119" spans="1:57" s="31" customFormat="1" ht="17.5" customHeight="1" thickBot="1" x14ac:dyDescent="0.4">
      <c r="A119" s="241"/>
      <c r="B119" s="243"/>
      <c r="C119" s="245"/>
      <c r="D119" s="241"/>
      <c r="E119" s="155" t="s">
        <v>161</v>
      </c>
      <c r="F119" s="138" t="s">
        <v>162</v>
      </c>
      <c r="G119" s="138">
        <v>3</v>
      </c>
      <c r="H119" s="138">
        <v>1</v>
      </c>
      <c r="I119" s="139">
        <v>3</v>
      </c>
      <c r="J119" s="295"/>
      <c r="K119" s="287"/>
      <c r="L119" s="54">
        <v>3</v>
      </c>
      <c r="M119" s="288"/>
      <c r="N119" s="288"/>
      <c r="O119" s="151">
        <v>1</v>
      </c>
      <c r="P119" s="110" t="s">
        <v>159</v>
      </c>
      <c r="Q119" s="111">
        <v>0.875</v>
      </c>
      <c r="R119" s="111">
        <v>0.3125</v>
      </c>
      <c r="S119" s="111"/>
      <c r="T119" s="111"/>
      <c r="U119" s="126"/>
      <c r="V119" s="132" t="s">
        <v>160</v>
      </c>
      <c r="W119" s="112"/>
      <c r="X119" s="121"/>
      <c r="Y119" s="122"/>
      <c r="Z119" s="113">
        <f t="shared" ref="Z119:Z120" si="119">MOD(Y119-X119,1)*24</f>
        <v>0</v>
      </c>
      <c r="AA119" s="81">
        <f t="shared" si="83"/>
        <v>0</v>
      </c>
      <c r="AB119" s="112"/>
      <c r="AC119" s="121"/>
      <c r="AD119" s="121"/>
      <c r="AE119" s="113">
        <f t="shared" ref="AE119:AE120" si="120">MOD(AD119-AC119,1)*24</f>
        <v>0</v>
      </c>
      <c r="AF119" s="81">
        <f t="shared" si="85"/>
        <v>0</v>
      </c>
      <c r="AG119" s="112"/>
      <c r="AH119" s="121"/>
      <c r="AI119" s="122"/>
      <c r="AJ119" s="113">
        <f t="shared" ref="AJ119:AJ120" si="121">MOD(AI119-AH119,1)*24</f>
        <v>0</v>
      </c>
      <c r="AK119" s="81">
        <f t="shared" si="87"/>
        <v>0</v>
      </c>
      <c r="AL119" s="112"/>
      <c r="AM119" s="121"/>
      <c r="AN119" s="122"/>
      <c r="AO119" s="113">
        <f t="shared" ref="AO119:AO120" si="122">MOD(AN119-AM119,1)*24</f>
        <v>0</v>
      </c>
      <c r="AP119" s="81">
        <f t="shared" si="89"/>
        <v>0</v>
      </c>
      <c r="AQ119" s="112"/>
      <c r="AR119" s="121"/>
      <c r="AS119" s="122"/>
      <c r="AT119" s="113">
        <f t="shared" ref="AT119:AT120" si="123">MOD(AS119-AR119,1)*24</f>
        <v>0</v>
      </c>
      <c r="AU119" s="81">
        <f t="shared" si="91"/>
        <v>0</v>
      </c>
      <c r="AV119" s="112"/>
      <c r="AW119" s="121"/>
      <c r="AX119" s="122"/>
      <c r="AY119" s="113">
        <f t="shared" ref="AY119:AY120" si="124">MOD(AX119-AW119,1)*24</f>
        <v>0</v>
      </c>
      <c r="AZ119" s="81">
        <f t="shared" si="93"/>
        <v>0</v>
      </c>
      <c r="BA119" s="78"/>
      <c r="BB119" s="79">
        <f t="shared" si="110"/>
        <v>0</v>
      </c>
      <c r="BC119" s="115">
        <f t="shared" si="111"/>
        <v>3</v>
      </c>
      <c r="BD119" s="81">
        <f t="shared" si="112"/>
        <v>3</v>
      </c>
      <c r="BE119" s="122"/>
    </row>
    <row r="120" spans="1:57" s="31" customFormat="1" ht="17.5" customHeight="1" thickBot="1" x14ac:dyDescent="0.4">
      <c r="A120" s="241"/>
      <c r="B120" s="243"/>
      <c r="C120" s="245"/>
      <c r="D120" s="241"/>
      <c r="E120" s="155" t="s">
        <v>163</v>
      </c>
      <c r="F120" s="138" t="s">
        <v>121</v>
      </c>
      <c r="G120" s="138">
        <v>1</v>
      </c>
      <c r="H120" s="138">
        <v>1</v>
      </c>
      <c r="I120" s="139">
        <v>1</v>
      </c>
      <c r="J120" s="295"/>
      <c r="K120" s="287"/>
      <c r="L120" s="54">
        <v>1</v>
      </c>
      <c r="M120" s="288"/>
      <c r="N120" s="288"/>
      <c r="O120" s="151">
        <v>1</v>
      </c>
      <c r="P120" s="119" t="s">
        <v>164</v>
      </c>
      <c r="Q120" s="111">
        <v>0.83333333333333337</v>
      </c>
      <c r="R120" s="111">
        <v>0.33333333333333331</v>
      </c>
      <c r="S120" s="111"/>
      <c r="T120" s="111"/>
      <c r="U120" s="126"/>
      <c r="V120" s="132" t="s">
        <v>123</v>
      </c>
      <c r="W120" s="112"/>
      <c r="X120" s="121"/>
      <c r="Y120" s="122"/>
      <c r="Z120" s="113">
        <f t="shared" si="119"/>
        <v>0</v>
      </c>
      <c r="AA120" s="81">
        <f t="shared" si="83"/>
        <v>0</v>
      </c>
      <c r="AB120" s="112"/>
      <c r="AC120" s="121"/>
      <c r="AD120" s="121"/>
      <c r="AE120" s="113">
        <f t="shared" si="120"/>
        <v>0</v>
      </c>
      <c r="AF120" s="81">
        <f t="shared" si="85"/>
        <v>0</v>
      </c>
      <c r="AG120" s="112"/>
      <c r="AH120" s="121"/>
      <c r="AI120" s="122"/>
      <c r="AJ120" s="113">
        <f t="shared" si="121"/>
        <v>0</v>
      </c>
      <c r="AK120" s="81">
        <f t="shared" si="87"/>
        <v>0</v>
      </c>
      <c r="AL120" s="112"/>
      <c r="AM120" s="121"/>
      <c r="AN120" s="122"/>
      <c r="AO120" s="113">
        <f t="shared" si="122"/>
        <v>0</v>
      </c>
      <c r="AP120" s="81">
        <f t="shared" si="89"/>
        <v>0</v>
      </c>
      <c r="AQ120" s="112"/>
      <c r="AR120" s="121"/>
      <c r="AS120" s="122"/>
      <c r="AT120" s="113">
        <f t="shared" si="123"/>
        <v>0</v>
      </c>
      <c r="AU120" s="81">
        <f t="shared" si="91"/>
        <v>0</v>
      </c>
      <c r="AV120" s="112"/>
      <c r="AW120" s="121"/>
      <c r="AX120" s="122"/>
      <c r="AY120" s="113">
        <f t="shared" si="124"/>
        <v>0</v>
      </c>
      <c r="AZ120" s="81">
        <f t="shared" si="93"/>
        <v>0</v>
      </c>
      <c r="BA120" s="78"/>
      <c r="BB120" s="79">
        <f t="shared" si="110"/>
        <v>0</v>
      </c>
      <c r="BC120" s="115">
        <f t="shared" si="111"/>
        <v>1</v>
      </c>
      <c r="BD120" s="81">
        <f t="shared" si="112"/>
        <v>1</v>
      </c>
      <c r="BE120" s="122"/>
    </row>
    <row r="121" spans="1:57" s="31" customFormat="1" ht="17.5" customHeight="1" thickBot="1" x14ac:dyDescent="0.4">
      <c r="A121" s="241"/>
      <c r="B121" s="243"/>
      <c r="C121" s="245"/>
      <c r="D121" s="241"/>
      <c r="E121" s="258" t="s">
        <v>60</v>
      </c>
      <c r="F121" s="259"/>
      <c r="G121" s="92"/>
      <c r="H121" s="141">
        <f>SUM(H108:H120)</f>
        <v>13</v>
      </c>
      <c r="I121" s="94">
        <f>SUM(I108:I120)</f>
        <v>77</v>
      </c>
      <c r="J121" s="295"/>
      <c r="K121" s="287"/>
      <c r="L121" s="95">
        <f>SUM(L108:L120)</f>
        <v>70</v>
      </c>
      <c r="M121" s="288"/>
      <c r="N121" s="288"/>
      <c r="O121" s="153"/>
      <c r="P121" s="198"/>
      <c r="Q121" s="68"/>
      <c r="R121" s="68"/>
      <c r="S121" s="68"/>
      <c r="T121" s="68"/>
      <c r="U121" s="211"/>
      <c r="V121" s="199"/>
      <c r="W121" s="200"/>
      <c r="X121" s="201"/>
      <c r="Y121" s="202"/>
      <c r="Z121" s="197"/>
      <c r="AA121" s="203"/>
      <c r="AB121" s="200"/>
      <c r="AC121" s="201"/>
      <c r="AD121" s="201"/>
      <c r="AE121" s="195"/>
      <c r="AF121" s="203"/>
      <c r="AG121" s="200"/>
      <c r="AH121" s="201"/>
      <c r="AI121" s="202"/>
      <c r="AJ121" s="197"/>
      <c r="AK121" s="203"/>
      <c r="AL121" s="200"/>
      <c r="AM121" s="201"/>
      <c r="AN121" s="202"/>
      <c r="AO121" s="197"/>
      <c r="AP121" s="203"/>
      <c r="AQ121" s="200"/>
      <c r="AR121" s="201"/>
      <c r="AS121" s="202"/>
      <c r="AT121" s="197"/>
      <c r="AU121" s="203"/>
      <c r="AV121" s="200"/>
      <c r="AW121" s="201"/>
      <c r="AX121" s="202"/>
      <c r="AY121" s="197"/>
      <c r="AZ121" s="203"/>
      <c r="BA121" s="206"/>
      <c r="BB121" s="207"/>
      <c r="BC121" s="197"/>
      <c r="BD121" s="228">
        <f>SUM(BD108:BD120)</f>
        <v>70</v>
      </c>
      <c r="BE121" s="202"/>
    </row>
    <row r="122" spans="1:57" s="31" customFormat="1" ht="17.5" customHeight="1" x14ac:dyDescent="0.35">
      <c r="A122" s="241"/>
      <c r="B122" s="243"/>
      <c r="C122" s="245"/>
      <c r="D122" s="241"/>
      <c r="E122" s="284" t="s">
        <v>39</v>
      </c>
      <c r="F122" s="278" t="s">
        <v>67</v>
      </c>
      <c r="G122" s="278">
        <v>8</v>
      </c>
      <c r="H122" s="278">
        <v>4</v>
      </c>
      <c r="I122" s="281">
        <v>32</v>
      </c>
      <c r="J122" s="286">
        <f xml:space="preserve"> I133/8</f>
        <v>8</v>
      </c>
      <c r="K122" s="287" t="s">
        <v>142</v>
      </c>
      <c r="L122" s="54">
        <v>7</v>
      </c>
      <c r="M122" s="288">
        <f>L133/8</f>
        <v>7.25</v>
      </c>
      <c r="N122" s="288">
        <f>SUM(BD122:BD132)/8</f>
        <v>7.25</v>
      </c>
      <c r="O122" s="148">
        <v>1</v>
      </c>
      <c r="P122" s="56" t="s">
        <v>147</v>
      </c>
      <c r="Q122" s="57">
        <v>0.33333333333333331</v>
      </c>
      <c r="R122" s="57">
        <v>0.54166666666666663</v>
      </c>
      <c r="S122" s="57"/>
      <c r="T122" s="57"/>
      <c r="U122" s="118"/>
      <c r="V122" s="57" t="s">
        <v>110</v>
      </c>
      <c r="W122" s="59"/>
      <c r="X122" s="83"/>
      <c r="Y122" s="65"/>
      <c r="Z122" s="29">
        <f t="shared" ref="Z122" si="125">(Y122-X122)*24</f>
        <v>0</v>
      </c>
      <c r="AA122" s="64">
        <f t="shared" si="83"/>
        <v>0</v>
      </c>
      <c r="AB122" s="59"/>
      <c r="AC122" s="83"/>
      <c r="AD122" s="83"/>
      <c r="AE122" s="62">
        <f t="shared" ref="AE122" si="126">(AD122-AC122)*24</f>
        <v>0</v>
      </c>
      <c r="AF122" s="64">
        <f t="shared" si="85"/>
        <v>0</v>
      </c>
      <c r="AG122" s="59"/>
      <c r="AH122" s="83"/>
      <c r="AI122" s="65"/>
      <c r="AJ122" s="29">
        <f t="shared" ref="AJ122" si="127">(AI122-AH122)*24</f>
        <v>0</v>
      </c>
      <c r="AK122" s="64">
        <f t="shared" si="87"/>
        <v>0</v>
      </c>
      <c r="AL122" s="59"/>
      <c r="AM122" s="83"/>
      <c r="AN122" s="65"/>
      <c r="AO122" s="29">
        <f t="shared" ref="AO122" si="128">(AN122-AM122)*24</f>
        <v>0</v>
      </c>
      <c r="AP122" s="64">
        <f t="shared" si="89"/>
        <v>0</v>
      </c>
      <c r="AQ122" s="59"/>
      <c r="AR122" s="83"/>
      <c r="AS122" s="65"/>
      <c r="AT122" s="29">
        <f t="shared" ref="AT122" si="129">(AS122-AR122)*24</f>
        <v>0</v>
      </c>
      <c r="AU122" s="64">
        <f t="shared" si="91"/>
        <v>0</v>
      </c>
      <c r="AV122" s="59"/>
      <c r="AW122" s="83"/>
      <c r="AX122" s="65"/>
      <c r="AY122" s="29">
        <f t="shared" ref="AY122" si="130">(AX122-AW122)*24</f>
        <v>0</v>
      </c>
      <c r="AZ122" s="64">
        <f t="shared" si="93"/>
        <v>0</v>
      </c>
      <c r="BA122" s="62"/>
      <c r="BB122" s="63">
        <f t="shared" si="110"/>
        <v>0</v>
      </c>
      <c r="BC122" s="13">
        <f t="shared" ref="BC122:BC132" si="131">IF(BB122&gt;0, BB122, IF(BB122=0, L122))</f>
        <v>7</v>
      </c>
      <c r="BD122" s="64">
        <f t="shared" ref="BD122:BD132" si="132">IF(BA122=1, (BC122-L122), IF(BA122=0, BC122))</f>
        <v>7</v>
      </c>
      <c r="BE122" s="65"/>
    </row>
    <row r="123" spans="1:57" s="31" customFormat="1" ht="17.5" customHeight="1" x14ac:dyDescent="0.35">
      <c r="A123" s="241"/>
      <c r="B123" s="243"/>
      <c r="C123" s="245"/>
      <c r="D123" s="241"/>
      <c r="E123" s="317"/>
      <c r="F123" s="279"/>
      <c r="G123" s="279"/>
      <c r="H123" s="279"/>
      <c r="I123" s="282"/>
      <c r="J123" s="286"/>
      <c r="K123" s="287"/>
      <c r="L123" s="54">
        <v>7</v>
      </c>
      <c r="M123" s="288"/>
      <c r="N123" s="288"/>
      <c r="O123" s="149">
        <v>2</v>
      </c>
      <c r="P123" s="74" t="s">
        <v>166</v>
      </c>
      <c r="Q123" s="26">
        <v>0.29166666666666669</v>
      </c>
      <c r="R123" s="26">
        <v>0.79166666666666663</v>
      </c>
      <c r="S123" s="26"/>
      <c r="T123" s="26"/>
      <c r="U123" s="118"/>
      <c r="V123" s="26" t="s">
        <v>136</v>
      </c>
      <c r="W123" s="70"/>
      <c r="X123" s="28"/>
      <c r="Y123" s="73"/>
      <c r="Z123" s="29">
        <f>(Y123-X123)*24</f>
        <v>0</v>
      </c>
      <c r="AA123" s="64">
        <f t="shared" si="83"/>
        <v>0</v>
      </c>
      <c r="AB123" s="70"/>
      <c r="AC123" s="28"/>
      <c r="AD123" s="28"/>
      <c r="AE123" s="62">
        <f>(AD123-AC123)*24</f>
        <v>0</v>
      </c>
      <c r="AF123" s="64">
        <f t="shared" si="85"/>
        <v>0</v>
      </c>
      <c r="AG123" s="70"/>
      <c r="AH123" s="28"/>
      <c r="AI123" s="73"/>
      <c r="AJ123" s="29">
        <f>(AI123-AH123)*24</f>
        <v>0</v>
      </c>
      <c r="AK123" s="64">
        <f t="shared" si="87"/>
        <v>0</v>
      </c>
      <c r="AL123" s="70"/>
      <c r="AM123" s="28"/>
      <c r="AN123" s="73"/>
      <c r="AO123" s="29">
        <f>(AN123-AM123)*24</f>
        <v>0</v>
      </c>
      <c r="AP123" s="64">
        <f t="shared" si="89"/>
        <v>0</v>
      </c>
      <c r="AQ123" s="70"/>
      <c r="AR123" s="28"/>
      <c r="AS123" s="73"/>
      <c r="AT123" s="29">
        <f>(AS123-AR123)*24</f>
        <v>0</v>
      </c>
      <c r="AU123" s="64">
        <f t="shared" si="91"/>
        <v>0</v>
      </c>
      <c r="AV123" s="70"/>
      <c r="AW123" s="28"/>
      <c r="AX123" s="73"/>
      <c r="AY123" s="29">
        <f>(AX123-AW123)*24</f>
        <v>0</v>
      </c>
      <c r="AZ123" s="64">
        <f t="shared" si="93"/>
        <v>0</v>
      </c>
      <c r="BA123" s="62"/>
      <c r="BB123" s="63">
        <f t="shared" si="110"/>
        <v>0</v>
      </c>
      <c r="BC123" s="13">
        <f t="shared" si="131"/>
        <v>7</v>
      </c>
      <c r="BD123" s="64">
        <f t="shared" si="132"/>
        <v>7</v>
      </c>
      <c r="BE123" s="73"/>
    </row>
    <row r="124" spans="1:57" s="31" customFormat="1" ht="17.5" customHeight="1" x14ac:dyDescent="0.35">
      <c r="A124" s="241"/>
      <c r="B124" s="243"/>
      <c r="C124" s="245"/>
      <c r="D124" s="241"/>
      <c r="E124" s="317"/>
      <c r="F124" s="279"/>
      <c r="G124" s="279"/>
      <c r="H124" s="279"/>
      <c r="I124" s="282"/>
      <c r="J124" s="286"/>
      <c r="K124" s="287"/>
      <c r="L124" s="54">
        <v>7</v>
      </c>
      <c r="M124" s="288"/>
      <c r="N124" s="288"/>
      <c r="O124" s="149">
        <v>3</v>
      </c>
      <c r="P124" s="74" t="s">
        <v>168</v>
      </c>
      <c r="Q124" s="26">
        <v>0.29166666666666669</v>
      </c>
      <c r="R124" s="26">
        <v>0.79166666666666663</v>
      </c>
      <c r="S124" s="26"/>
      <c r="T124" s="26"/>
      <c r="U124" s="118"/>
      <c r="V124" s="26"/>
      <c r="W124" s="70"/>
      <c r="X124" s="28"/>
      <c r="Y124" s="73"/>
      <c r="Z124" s="29">
        <f>(Y124-X124)*24</f>
        <v>0</v>
      </c>
      <c r="AA124" s="64">
        <f t="shared" si="83"/>
        <v>0</v>
      </c>
      <c r="AB124" s="70"/>
      <c r="AC124" s="28"/>
      <c r="AD124" s="28"/>
      <c r="AE124" s="62">
        <f>(AD124-AC124)*24</f>
        <v>0</v>
      </c>
      <c r="AF124" s="64">
        <f t="shared" si="85"/>
        <v>0</v>
      </c>
      <c r="AG124" s="70"/>
      <c r="AH124" s="28"/>
      <c r="AI124" s="73"/>
      <c r="AJ124" s="29">
        <f>(AI124-AH124)*24</f>
        <v>0</v>
      </c>
      <c r="AK124" s="64">
        <f t="shared" si="87"/>
        <v>0</v>
      </c>
      <c r="AL124" s="70"/>
      <c r="AM124" s="28"/>
      <c r="AN124" s="73"/>
      <c r="AO124" s="29">
        <f>(AN124-AM124)*24</f>
        <v>0</v>
      </c>
      <c r="AP124" s="64">
        <f t="shared" si="89"/>
        <v>0</v>
      </c>
      <c r="AQ124" s="70"/>
      <c r="AR124" s="28"/>
      <c r="AS124" s="73"/>
      <c r="AT124" s="29">
        <f>(AS124-AR124)*24</f>
        <v>0</v>
      </c>
      <c r="AU124" s="64">
        <f t="shared" si="91"/>
        <v>0</v>
      </c>
      <c r="AV124" s="70"/>
      <c r="AW124" s="28"/>
      <c r="AX124" s="73"/>
      <c r="AY124" s="29">
        <f>(AX124-AW124)*24</f>
        <v>0</v>
      </c>
      <c r="AZ124" s="64">
        <f t="shared" si="93"/>
        <v>0</v>
      </c>
      <c r="BA124" s="62"/>
      <c r="BB124" s="63">
        <f t="shared" si="110"/>
        <v>0</v>
      </c>
      <c r="BC124" s="13">
        <f t="shared" si="131"/>
        <v>7</v>
      </c>
      <c r="BD124" s="64">
        <f t="shared" si="132"/>
        <v>7</v>
      </c>
      <c r="BE124" s="73"/>
    </row>
    <row r="125" spans="1:57" s="31" customFormat="1" ht="17.5" customHeight="1" thickBot="1" x14ac:dyDescent="0.4">
      <c r="A125" s="241"/>
      <c r="B125" s="243"/>
      <c r="C125" s="245"/>
      <c r="D125" s="241"/>
      <c r="E125" s="285"/>
      <c r="F125" s="280"/>
      <c r="G125" s="280"/>
      <c r="H125" s="280"/>
      <c r="I125" s="283"/>
      <c r="J125" s="286"/>
      <c r="K125" s="287"/>
      <c r="L125" s="54">
        <v>7</v>
      </c>
      <c r="M125" s="288"/>
      <c r="N125" s="288"/>
      <c r="O125" s="150">
        <v>4</v>
      </c>
      <c r="P125" s="98" t="s">
        <v>169</v>
      </c>
      <c r="Q125" s="86">
        <v>0.29166666666666669</v>
      </c>
      <c r="R125" s="86">
        <v>0.79166666666666663</v>
      </c>
      <c r="S125" s="86"/>
      <c r="T125" s="86"/>
      <c r="U125" s="126"/>
      <c r="V125" s="86"/>
      <c r="W125" s="89"/>
      <c r="X125" s="90"/>
      <c r="Y125" s="91"/>
      <c r="Z125" s="77">
        <f t="shared" ref="Z125:Z129" si="133">(Y125-X125)*24</f>
        <v>0</v>
      </c>
      <c r="AA125" s="81">
        <f t="shared" si="83"/>
        <v>0</v>
      </c>
      <c r="AB125" s="89"/>
      <c r="AC125" s="90"/>
      <c r="AD125" s="90"/>
      <c r="AE125" s="78">
        <f t="shared" ref="AE125:AE129" si="134">(AD125-AC125)*24</f>
        <v>0</v>
      </c>
      <c r="AF125" s="81">
        <f t="shared" si="85"/>
        <v>0</v>
      </c>
      <c r="AG125" s="89"/>
      <c r="AH125" s="90"/>
      <c r="AI125" s="91"/>
      <c r="AJ125" s="77">
        <f t="shared" ref="AJ125:AJ129" si="135">(AI125-AH125)*24</f>
        <v>0</v>
      </c>
      <c r="AK125" s="81">
        <f t="shared" si="87"/>
        <v>0</v>
      </c>
      <c r="AL125" s="89"/>
      <c r="AM125" s="90"/>
      <c r="AN125" s="91"/>
      <c r="AO125" s="77">
        <f t="shared" ref="AO125:AO129" si="136">(AN125-AM125)*24</f>
        <v>0</v>
      </c>
      <c r="AP125" s="81">
        <f t="shared" si="89"/>
        <v>0</v>
      </c>
      <c r="AQ125" s="89"/>
      <c r="AR125" s="90"/>
      <c r="AS125" s="91"/>
      <c r="AT125" s="77">
        <f t="shared" ref="AT125:AT129" si="137">(AS125-AR125)*24</f>
        <v>0</v>
      </c>
      <c r="AU125" s="81">
        <f t="shared" si="91"/>
        <v>0</v>
      </c>
      <c r="AV125" s="89"/>
      <c r="AW125" s="90"/>
      <c r="AX125" s="91"/>
      <c r="AY125" s="77">
        <f t="shared" ref="AY125:AY129" si="138">(AX125-AW125)*24</f>
        <v>0</v>
      </c>
      <c r="AZ125" s="81">
        <f t="shared" si="93"/>
        <v>0</v>
      </c>
      <c r="BA125" s="78"/>
      <c r="BB125" s="79">
        <f t="shared" si="110"/>
        <v>0</v>
      </c>
      <c r="BC125" s="80">
        <f t="shared" si="131"/>
        <v>7</v>
      </c>
      <c r="BD125" s="81">
        <f t="shared" si="132"/>
        <v>7</v>
      </c>
      <c r="BE125" s="91"/>
    </row>
    <row r="126" spans="1:57" s="31" customFormat="1" ht="17.5" customHeight="1" thickBot="1" x14ac:dyDescent="0.4">
      <c r="A126" s="241"/>
      <c r="B126" s="243"/>
      <c r="C126" s="245"/>
      <c r="D126" s="241"/>
      <c r="E126" s="51" t="s">
        <v>81</v>
      </c>
      <c r="F126" s="51" t="s">
        <v>52</v>
      </c>
      <c r="G126" s="51">
        <v>2</v>
      </c>
      <c r="H126" s="51">
        <v>1</v>
      </c>
      <c r="I126" s="108">
        <f xml:space="preserve"> SUM(G126*H126)</f>
        <v>2</v>
      </c>
      <c r="J126" s="286"/>
      <c r="K126" s="287"/>
      <c r="L126" s="54">
        <v>2</v>
      </c>
      <c r="M126" s="288"/>
      <c r="N126" s="288"/>
      <c r="O126" s="151">
        <v>1</v>
      </c>
      <c r="P126" s="120" t="s">
        <v>170</v>
      </c>
      <c r="Q126" s="111">
        <v>0.375</v>
      </c>
      <c r="R126" s="111">
        <v>0.70833333333333337</v>
      </c>
      <c r="S126" s="111"/>
      <c r="T126" s="111"/>
      <c r="U126" s="175"/>
      <c r="V126" s="111" t="s">
        <v>65</v>
      </c>
      <c r="W126" s="112"/>
      <c r="X126" s="121"/>
      <c r="Y126" s="122"/>
      <c r="Z126" s="113">
        <f t="shared" si="133"/>
        <v>0</v>
      </c>
      <c r="AA126" s="81">
        <f t="shared" si="83"/>
        <v>0</v>
      </c>
      <c r="AB126" s="112"/>
      <c r="AC126" s="121"/>
      <c r="AD126" s="121"/>
      <c r="AE126" s="123">
        <f t="shared" si="134"/>
        <v>0</v>
      </c>
      <c r="AF126" s="81">
        <f t="shared" si="85"/>
        <v>0</v>
      </c>
      <c r="AG126" s="112"/>
      <c r="AH126" s="121"/>
      <c r="AI126" s="122"/>
      <c r="AJ126" s="113">
        <f t="shared" si="135"/>
        <v>0</v>
      </c>
      <c r="AK126" s="81">
        <f t="shared" si="87"/>
        <v>0</v>
      </c>
      <c r="AL126" s="112"/>
      <c r="AM126" s="121"/>
      <c r="AN126" s="122"/>
      <c r="AO126" s="113">
        <f t="shared" si="136"/>
        <v>0</v>
      </c>
      <c r="AP126" s="81">
        <f t="shared" si="89"/>
        <v>0</v>
      </c>
      <c r="AQ126" s="112"/>
      <c r="AR126" s="121"/>
      <c r="AS126" s="122"/>
      <c r="AT126" s="113">
        <f t="shared" si="137"/>
        <v>0</v>
      </c>
      <c r="AU126" s="81">
        <f t="shared" si="91"/>
        <v>0</v>
      </c>
      <c r="AV126" s="112"/>
      <c r="AW126" s="121"/>
      <c r="AX126" s="122"/>
      <c r="AY126" s="113">
        <f t="shared" si="138"/>
        <v>0</v>
      </c>
      <c r="AZ126" s="81">
        <f t="shared" si="93"/>
        <v>0</v>
      </c>
      <c r="BA126" s="78"/>
      <c r="BB126" s="79">
        <f t="shared" si="110"/>
        <v>0</v>
      </c>
      <c r="BC126" s="115">
        <f t="shared" si="131"/>
        <v>2</v>
      </c>
      <c r="BD126" s="81">
        <f t="shared" si="132"/>
        <v>2</v>
      </c>
      <c r="BE126" s="122"/>
    </row>
    <row r="127" spans="1:57" s="31" customFormat="1" ht="17.5" customHeight="1" x14ac:dyDescent="0.35">
      <c r="A127" s="241"/>
      <c r="B127" s="243"/>
      <c r="C127" s="245"/>
      <c r="D127" s="241"/>
      <c r="E127" s="278" t="s">
        <v>52</v>
      </c>
      <c r="F127" s="278" t="s">
        <v>83</v>
      </c>
      <c r="G127" s="278">
        <v>8</v>
      </c>
      <c r="H127" s="278">
        <v>2</v>
      </c>
      <c r="I127" s="281">
        <v>16</v>
      </c>
      <c r="J127" s="286"/>
      <c r="K127" s="287"/>
      <c r="L127" s="54">
        <v>7</v>
      </c>
      <c r="M127" s="288"/>
      <c r="N127" s="288"/>
      <c r="O127" s="148">
        <v>1</v>
      </c>
      <c r="P127" s="82" t="s">
        <v>156</v>
      </c>
      <c r="Q127" s="57">
        <v>0.54166666666666663</v>
      </c>
      <c r="R127" s="57">
        <v>0.875</v>
      </c>
      <c r="S127" s="57"/>
      <c r="T127" s="57"/>
      <c r="U127" s="210"/>
      <c r="V127" s="57" t="s">
        <v>65</v>
      </c>
      <c r="W127" s="59"/>
      <c r="X127" s="83"/>
      <c r="Y127" s="65"/>
      <c r="Z127" s="29">
        <f t="shared" si="133"/>
        <v>0</v>
      </c>
      <c r="AA127" s="64">
        <f t="shared" si="83"/>
        <v>0</v>
      </c>
      <c r="AB127" s="59"/>
      <c r="AC127" s="83"/>
      <c r="AD127" s="83"/>
      <c r="AE127" s="62">
        <f t="shared" si="134"/>
        <v>0</v>
      </c>
      <c r="AF127" s="64">
        <f t="shared" si="85"/>
        <v>0</v>
      </c>
      <c r="AG127" s="59"/>
      <c r="AH127" s="83"/>
      <c r="AI127" s="65"/>
      <c r="AJ127" s="29">
        <f t="shared" si="135"/>
        <v>0</v>
      </c>
      <c r="AK127" s="64">
        <f t="shared" si="87"/>
        <v>0</v>
      </c>
      <c r="AL127" s="59"/>
      <c r="AM127" s="83"/>
      <c r="AN127" s="65"/>
      <c r="AO127" s="29">
        <f t="shared" si="136"/>
        <v>0</v>
      </c>
      <c r="AP127" s="64">
        <f t="shared" si="89"/>
        <v>0</v>
      </c>
      <c r="AQ127" s="59"/>
      <c r="AR127" s="83"/>
      <c r="AS127" s="65"/>
      <c r="AT127" s="29">
        <f t="shared" si="137"/>
        <v>0</v>
      </c>
      <c r="AU127" s="64">
        <f t="shared" si="91"/>
        <v>0</v>
      </c>
      <c r="AV127" s="59"/>
      <c r="AW127" s="83"/>
      <c r="AX127" s="65"/>
      <c r="AY127" s="29">
        <f t="shared" si="138"/>
        <v>0</v>
      </c>
      <c r="AZ127" s="64">
        <f t="shared" si="93"/>
        <v>0</v>
      </c>
      <c r="BA127" s="62"/>
      <c r="BB127" s="63">
        <f t="shared" si="110"/>
        <v>0</v>
      </c>
      <c r="BC127" s="13">
        <f t="shared" si="131"/>
        <v>7</v>
      </c>
      <c r="BD127" s="64">
        <f t="shared" si="132"/>
        <v>7</v>
      </c>
      <c r="BE127" s="65"/>
    </row>
    <row r="128" spans="1:57" s="31" customFormat="1" ht="17.5" customHeight="1" thickBot="1" x14ac:dyDescent="0.4">
      <c r="A128" s="241"/>
      <c r="B128" s="243"/>
      <c r="C128" s="245"/>
      <c r="D128" s="241"/>
      <c r="E128" s="280"/>
      <c r="F128" s="280"/>
      <c r="G128" s="280"/>
      <c r="H128" s="280"/>
      <c r="I128" s="283"/>
      <c r="J128" s="286"/>
      <c r="K128" s="287"/>
      <c r="L128" s="54">
        <v>7</v>
      </c>
      <c r="M128" s="288"/>
      <c r="N128" s="288"/>
      <c r="O128" s="150">
        <v>2</v>
      </c>
      <c r="P128" s="157"/>
      <c r="Q128" s="86"/>
      <c r="R128" s="86"/>
      <c r="S128" s="86"/>
      <c r="T128" s="86"/>
      <c r="U128" s="118"/>
      <c r="V128" s="86"/>
      <c r="W128" s="89"/>
      <c r="X128" s="90"/>
      <c r="Y128" s="91"/>
      <c r="Z128" s="77">
        <f t="shared" si="133"/>
        <v>0</v>
      </c>
      <c r="AA128" s="81">
        <f t="shared" si="83"/>
        <v>0</v>
      </c>
      <c r="AB128" s="89"/>
      <c r="AC128" s="90"/>
      <c r="AD128" s="90"/>
      <c r="AE128" s="78">
        <f t="shared" si="134"/>
        <v>0</v>
      </c>
      <c r="AF128" s="81">
        <f t="shared" si="85"/>
        <v>0</v>
      </c>
      <c r="AG128" s="89"/>
      <c r="AH128" s="90"/>
      <c r="AI128" s="91"/>
      <c r="AJ128" s="77">
        <f t="shared" si="135"/>
        <v>0</v>
      </c>
      <c r="AK128" s="81">
        <f t="shared" si="87"/>
        <v>0</v>
      </c>
      <c r="AL128" s="89"/>
      <c r="AM128" s="90"/>
      <c r="AN128" s="91"/>
      <c r="AO128" s="77">
        <f t="shared" si="136"/>
        <v>0</v>
      </c>
      <c r="AP128" s="81">
        <f t="shared" si="89"/>
        <v>0</v>
      </c>
      <c r="AQ128" s="89"/>
      <c r="AR128" s="90"/>
      <c r="AS128" s="91"/>
      <c r="AT128" s="77">
        <f t="shared" si="137"/>
        <v>0</v>
      </c>
      <c r="AU128" s="81">
        <f t="shared" si="91"/>
        <v>0</v>
      </c>
      <c r="AV128" s="89"/>
      <c r="AW128" s="90"/>
      <c r="AX128" s="91"/>
      <c r="AY128" s="77">
        <f t="shared" si="138"/>
        <v>0</v>
      </c>
      <c r="AZ128" s="81">
        <f t="shared" si="93"/>
        <v>0</v>
      </c>
      <c r="BA128" s="78"/>
      <c r="BB128" s="79">
        <f t="shared" si="110"/>
        <v>0</v>
      </c>
      <c r="BC128" s="80">
        <f t="shared" si="131"/>
        <v>7</v>
      </c>
      <c r="BD128" s="81">
        <f t="shared" si="132"/>
        <v>7</v>
      </c>
      <c r="BE128" s="91"/>
    </row>
    <row r="129" spans="1:57" s="31" customFormat="1" ht="17.5" customHeight="1" thickBot="1" x14ac:dyDescent="0.4">
      <c r="A129" s="241"/>
      <c r="B129" s="243"/>
      <c r="C129" s="245"/>
      <c r="D129" s="241"/>
      <c r="E129" s="156" t="s">
        <v>67</v>
      </c>
      <c r="F129" s="135" t="s">
        <v>83</v>
      </c>
      <c r="G129" s="135">
        <v>5</v>
      </c>
      <c r="H129" s="135">
        <v>1</v>
      </c>
      <c r="I129" s="136">
        <v>5</v>
      </c>
      <c r="J129" s="286"/>
      <c r="K129" s="287"/>
      <c r="L129" s="54">
        <v>5</v>
      </c>
      <c r="M129" s="288"/>
      <c r="N129" s="288"/>
      <c r="O129" s="151">
        <v>1</v>
      </c>
      <c r="P129" s="85" t="s">
        <v>155</v>
      </c>
      <c r="Q129" s="86">
        <v>0.66666666666666663</v>
      </c>
      <c r="R129" s="86">
        <v>0.875</v>
      </c>
      <c r="S129" s="86"/>
      <c r="T129" s="86"/>
      <c r="U129" s="118"/>
      <c r="V129" s="86" t="s">
        <v>110</v>
      </c>
      <c r="W129" s="89"/>
      <c r="X129" s="90"/>
      <c r="Y129" s="91"/>
      <c r="Z129" s="113">
        <f t="shared" si="133"/>
        <v>0</v>
      </c>
      <c r="AA129" s="81">
        <f t="shared" si="83"/>
        <v>0</v>
      </c>
      <c r="AB129" s="89"/>
      <c r="AC129" s="90"/>
      <c r="AD129" s="90"/>
      <c r="AE129" s="123">
        <f t="shared" si="134"/>
        <v>0</v>
      </c>
      <c r="AF129" s="81">
        <f t="shared" si="85"/>
        <v>0</v>
      </c>
      <c r="AG129" s="89"/>
      <c r="AH129" s="90"/>
      <c r="AI129" s="91"/>
      <c r="AJ129" s="113">
        <f t="shared" si="135"/>
        <v>0</v>
      </c>
      <c r="AK129" s="81">
        <f t="shared" si="87"/>
        <v>0</v>
      </c>
      <c r="AL129" s="89"/>
      <c r="AM129" s="90"/>
      <c r="AN129" s="91"/>
      <c r="AO129" s="113">
        <f t="shared" si="136"/>
        <v>0</v>
      </c>
      <c r="AP129" s="81">
        <f t="shared" si="89"/>
        <v>0</v>
      </c>
      <c r="AQ129" s="89"/>
      <c r="AR129" s="90"/>
      <c r="AS129" s="91"/>
      <c r="AT129" s="113">
        <f t="shared" si="137"/>
        <v>0</v>
      </c>
      <c r="AU129" s="81">
        <f t="shared" si="91"/>
        <v>0</v>
      </c>
      <c r="AV129" s="89"/>
      <c r="AW129" s="90"/>
      <c r="AX129" s="91"/>
      <c r="AY129" s="113">
        <f t="shared" si="138"/>
        <v>0</v>
      </c>
      <c r="AZ129" s="81">
        <f t="shared" si="93"/>
        <v>0</v>
      </c>
      <c r="BA129" s="78"/>
      <c r="BB129" s="79">
        <f t="shared" si="110"/>
        <v>0</v>
      </c>
      <c r="BC129" s="115">
        <f t="shared" si="131"/>
        <v>5</v>
      </c>
      <c r="BD129" s="81">
        <f t="shared" si="132"/>
        <v>5</v>
      </c>
      <c r="BE129" s="91"/>
    </row>
    <row r="130" spans="1:57" s="31" customFormat="1" ht="17.5" customHeight="1" thickBot="1" x14ac:dyDescent="0.4">
      <c r="A130" s="241"/>
      <c r="B130" s="243"/>
      <c r="C130" s="245"/>
      <c r="D130" s="241"/>
      <c r="E130" s="155" t="s">
        <v>83</v>
      </c>
      <c r="F130" s="138" t="s">
        <v>158</v>
      </c>
      <c r="G130" s="138">
        <v>5</v>
      </c>
      <c r="H130" s="138">
        <v>1</v>
      </c>
      <c r="I130" s="139">
        <v>5</v>
      </c>
      <c r="J130" s="286"/>
      <c r="K130" s="287"/>
      <c r="L130" s="54">
        <v>5</v>
      </c>
      <c r="M130" s="288"/>
      <c r="N130" s="288"/>
      <c r="O130" s="151">
        <v>1</v>
      </c>
      <c r="P130" s="110" t="s">
        <v>159</v>
      </c>
      <c r="Q130" s="111">
        <v>0.875</v>
      </c>
      <c r="R130" s="111">
        <v>0.3125</v>
      </c>
      <c r="S130" s="111"/>
      <c r="T130" s="111"/>
      <c r="U130" s="118"/>
      <c r="V130" s="111" t="s">
        <v>160</v>
      </c>
      <c r="W130" s="112"/>
      <c r="X130" s="121"/>
      <c r="Y130" s="122"/>
      <c r="Z130" s="113">
        <f>MOD(Y130-X130,1)*24</f>
        <v>0</v>
      </c>
      <c r="AA130" s="81">
        <f t="shared" si="83"/>
        <v>0</v>
      </c>
      <c r="AB130" s="112"/>
      <c r="AC130" s="121"/>
      <c r="AD130" s="121"/>
      <c r="AE130" s="113">
        <f>MOD(AD130-AC130,1)*24</f>
        <v>0</v>
      </c>
      <c r="AF130" s="81">
        <f t="shared" si="85"/>
        <v>0</v>
      </c>
      <c r="AG130" s="112"/>
      <c r="AH130" s="121"/>
      <c r="AI130" s="122"/>
      <c r="AJ130" s="113">
        <f>MOD(AI130-AH130,1)*24</f>
        <v>0</v>
      </c>
      <c r="AK130" s="81">
        <f t="shared" si="87"/>
        <v>0</v>
      </c>
      <c r="AL130" s="112"/>
      <c r="AM130" s="121"/>
      <c r="AN130" s="122"/>
      <c r="AO130" s="113">
        <f>MOD(AN130-AM130,1)*24</f>
        <v>0</v>
      </c>
      <c r="AP130" s="81">
        <f t="shared" si="89"/>
        <v>0</v>
      </c>
      <c r="AQ130" s="112"/>
      <c r="AR130" s="121"/>
      <c r="AS130" s="122"/>
      <c r="AT130" s="113">
        <f>MOD(AS130-AR130,1)*24</f>
        <v>0</v>
      </c>
      <c r="AU130" s="81">
        <f t="shared" si="91"/>
        <v>0</v>
      </c>
      <c r="AV130" s="112"/>
      <c r="AW130" s="121"/>
      <c r="AX130" s="122"/>
      <c r="AY130" s="113">
        <f>MOD(AX130-AW130,1)*24</f>
        <v>0</v>
      </c>
      <c r="AZ130" s="81">
        <f t="shared" si="93"/>
        <v>0</v>
      </c>
      <c r="BA130" s="78"/>
      <c r="BB130" s="79">
        <f t="shared" si="110"/>
        <v>0</v>
      </c>
      <c r="BC130" s="115">
        <f t="shared" si="131"/>
        <v>5</v>
      </c>
      <c r="BD130" s="81">
        <f t="shared" si="132"/>
        <v>5</v>
      </c>
      <c r="BE130" s="122"/>
    </row>
    <row r="131" spans="1:57" s="31" customFormat="1" ht="17.5" customHeight="1" thickBot="1" x14ac:dyDescent="0.4">
      <c r="A131" s="241"/>
      <c r="B131" s="243"/>
      <c r="C131" s="245"/>
      <c r="D131" s="241"/>
      <c r="E131" s="155" t="s">
        <v>161</v>
      </c>
      <c r="F131" s="138" t="s">
        <v>162</v>
      </c>
      <c r="G131" s="138">
        <v>3</v>
      </c>
      <c r="H131" s="138">
        <v>1</v>
      </c>
      <c r="I131" s="139">
        <v>3</v>
      </c>
      <c r="J131" s="286"/>
      <c r="K131" s="287"/>
      <c r="L131" s="54">
        <v>3</v>
      </c>
      <c r="M131" s="288"/>
      <c r="N131" s="288"/>
      <c r="O131" s="151">
        <v>1</v>
      </c>
      <c r="P131" s="110" t="s">
        <v>159</v>
      </c>
      <c r="Q131" s="111">
        <v>0.875</v>
      </c>
      <c r="R131" s="111">
        <v>0.3125</v>
      </c>
      <c r="S131" s="111"/>
      <c r="T131" s="111"/>
      <c r="U131" s="118"/>
      <c r="V131" s="111" t="s">
        <v>160</v>
      </c>
      <c r="W131" s="112"/>
      <c r="X131" s="121"/>
      <c r="Y131" s="122"/>
      <c r="Z131" s="113">
        <f t="shared" ref="Z131:Z132" si="139">MOD(Y131-X131,1)*24</f>
        <v>0</v>
      </c>
      <c r="AA131" s="81">
        <f t="shared" si="83"/>
        <v>0</v>
      </c>
      <c r="AB131" s="112"/>
      <c r="AC131" s="121"/>
      <c r="AD131" s="121"/>
      <c r="AE131" s="113">
        <f t="shared" ref="AE131:AE132" si="140">MOD(AD131-AC131,1)*24</f>
        <v>0</v>
      </c>
      <c r="AF131" s="81">
        <f t="shared" si="85"/>
        <v>0</v>
      </c>
      <c r="AG131" s="112"/>
      <c r="AH131" s="121"/>
      <c r="AI131" s="122"/>
      <c r="AJ131" s="113">
        <f t="shared" ref="AJ131:AJ132" si="141">MOD(AI131-AH131,1)*24</f>
        <v>0</v>
      </c>
      <c r="AK131" s="81">
        <f t="shared" si="87"/>
        <v>0</v>
      </c>
      <c r="AL131" s="112"/>
      <c r="AM131" s="121"/>
      <c r="AN131" s="122"/>
      <c r="AO131" s="113">
        <f t="shared" ref="AO131:AO132" si="142">MOD(AN131-AM131,1)*24</f>
        <v>0</v>
      </c>
      <c r="AP131" s="81">
        <f t="shared" si="89"/>
        <v>0</v>
      </c>
      <c r="AQ131" s="112"/>
      <c r="AR131" s="121"/>
      <c r="AS131" s="122"/>
      <c r="AT131" s="113">
        <f t="shared" ref="AT131:AT132" si="143">MOD(AS131-AR131,1)*24</f>
        <v>0</v>
      </c>
      <c r="AU131" s="81">
        <f t="shared" si="91"/>
        <v>0</v>
      </c>
      <c r="AV131" s="112"/>
      <c r="AW131" s="121"/>
      <c r="AX131" s="122"/>
      <c r="AY131" s="113">
        <f t="shared" ref="AY131:AY132" si="144">MOD(AX131-AW131,1)*24</f>
        <v>0</v>
      </c>
      <c r="AZ131" s="81">
        <f t="shared" si="93"/>
        <v>0</v>
      </c>
      <c r="BA131" s="78"/>
      <c r="BB131" s="79">
        <f t="shared" si="110"/>
        <v>0</v>
      </c>
      <c r="BC131" s="115">
        <f t="shared" si="131"/>
        <v>3</v>
      </c>
      <c r="BD131" s="81">
        <f t="shared" si="132"/>
        <v>3</v>
      </c>
      <c r="BE131" s="122"/>
    </row>
    <row r="132" spans="1:57" s="31" customFormat="1" ht="17.5" customHeight="1" thickBot="1" x14ac:dyDescent="0.4">
      <c r="A132" s="241"/>
      <c r="B132" s="243"/>
      <c r="C132" s="245"/>
      <c r="D132" s="241"/>
      <c r="E132" s="155" t="s">
        <v>163</v>
      </c>
      <c r="F132" s="138" t="s">
        <v>121</v>
      </c>
      <c r="G132" s="138">
        <v>1</v>
      </c>
      <c r="H132" s="138">
        <v>1</v>
      </c>
      <c r="I132" s="139">
        <v>1</v>
      </c>
      <c r="J132" s="286"/>
      <c r="K132" s="287"/>
      <c r="L132" s="54">
        <v>1</v>
      </c>
      <c r="M132" s="288"/>
      <c r="N132" s="288"/>
      <c r="O132" s="151">
        <v>1</v>
      </c>
      <c r="P132" s="119" t="s">
        <v>164</v>
      </c>
      <c r="Q132" s="111">
        <v>0.83333333333333337</v>
      </c>
      <c r="R132" s="111">
        <v>0.33333333333333331</v>
      </c>
      <c r="S132" s="111"/>
      <c r="T132" s="111"/>
      <c r="U132" s="118"/>
      <c r="V132" s="111" t="s">
        <v>123</v>
      </c>
      <c r="W132" s="112"/>
      <c r="X132" s="121"/>
      <c r="Y132" s="122"/>
      <c r="Z132" s="113">
        <f t="shared" si="139"/>
        <v>0</v>
      </c>
      <c r="AA132" s="81">
        <f t="shared" si="83"/>
        <v>0</v>
      </c>
      <c r="AB132" s="112"/>
      <c r="AC132" s="121"/>
      <c r="AD132" s="121"/>
      <c r="AE132" s="113">
        <f t="shared" si="140"/>
        <v>0</v>
      </c>
      <c r="AF132" s="81">
        <f t="shared" si="85"/>
        <v>0</v>
      </c>
      <c r="AG132" s="112"/>
      <c r="AH132" s="121"/>
      <c r="AI132" s="122"/>
      <c r="AJ132" s="113">
        <f t="shared" si="141"/>
        <v>0</v>
      </c>
      <c r="AK132" s="81">
        <f t="shared" si="87"/>
        <v>0</v>
      </c>
      <c r="AL132" s="112"/>
      <c r="AM132" s="121"/>
      <c r="AN132" s="122"/>
      <c r="AO132" s="113">
        <f t="shared" si="142"/>
        <v>0</v>
      </c>
      <c r="AP132" s="81">
        <f t="shared" si="89"/>
        <v>0</v>
      </c>
      <c r="AQ132" s="112"/>
      <c r="AR132" s="121"/>
      <c r="AS132" s="122"/>
      <c r="AT132" s="113">
        <f t="shared" si="143"/>
        <v>0</v>
      </c>
      <c r="AU132" s="81">
        <f t="shared" si="91"/>
        <v>0</v>
      </c>
      <c r="AV132" s="112"/>
      <c r="AW132" s="121"/>
      <c r="AX132" s="122"/>
      <c r="AY132" s="113">
        <f t="shared" si="144"/>
        <v>0</v>
      </c>
      <c r="AZ132" s="81">
        <f t="shared" si="93"/>
        <v>0</v>
      </c>
      <c r="BA132" s="78"/>
      <c r="BB132" s="79">
        <f t="shared" si="110"/>
        <v>0</v>
      </c>
      <c r="BC132" s="115">
        <f t="shared" si="131"/>
        <v>1</v>
      </c>
      <c r="BD132" s="81">
        <f t="shared" si="132"/>
        <v>1</v>
      </c>
      <c r="BE132" s="122"/>
    </row>
    <row r="133" spans="1:57" s="31" customFormat="1" ht="17.5" customHeight="1" x14ac:dyDescent="0.35">
      <c r="A133" s="241"/>
      <c r="B133" s="244"/>
      <c r="C133" s="245"/>
      <c r="D133" s="241"/>
      <c r="E133" s="258" t="s">
        <v>143</v>
      </c>
      <c r="F133" s="259"/>
      <c r="G133" s="92"/>
      <c r="H133" s="141">
        <f>SUM(H122:H132)</f>
        <v>11</v>
      </c>
      <c r="I133" s="94">
        <f>SUM(I122:I132)</f>
        <v>64</v>
      </c>
      <c r="J133" s="286"/>
      <c r="K133" s="287"/>
      <c r="L133" s="95">
        <f>SUM(L122:L132)</f>
        <v>58</v>
      </c>
      <c r="M133" s="288"/>
      <c r="N133" s="288"/>
      <c r="O133" s="153"/>
      <c r="P133" s="198"/>
      <c r="Q133" s="68"/>
      <c r="R133" s="68"/>
      <c r="S133" s="68"/>
      <c r="T133" s="68"/>
      <c r="U133" s="209"/>
      <c r="V133" s="199"/>
      <c r="W133" s="200"/>
      <c r="X133" s="201"/>
      <c r="Y133" s="202"/>
      <c r="Z133" s="203"/>
      <c r="AA133" s="203"/>
      <c r="AB133" s="200"/>
      <c r="AC133" s="201"/>
      <c r="AD133" s="201"/>
      <c r="AE133" s="204"/>
      <c r="AF133" s="203"/>
      <c r="AG133" s="200"/>
      <c r="AH133" s="201"/>
      <c r="AI133" s="202"/>
      <c r="AJ133" s="203"/>
      <c r="AK133" s="203"/>
      <c r="AL133" s="200"/>
      <c r="AM133" s="201"/>
      <c r="AN133" s="202"/>
      <c r="AO133" s="203"/>
      <c r="AP133" s="203"/>
      <c r="AQ133" s="200"/>
      <c r="AR133" s="201"/>
      <c r="AS133" s="202"/>
      <c r="AT133" s="203"/>
      <c r="AU133" s="203"/>
      <c r="AV133" s="200"/>
      <c r="AW133" s="201"/>
      <c r="AX133" s="202"/>
      <c r="AY133" s="203"/>
      <c r="AZ133" s="203"/>
      <c r="BA133" s="204"/>
      <c r="BB133" s="205"/>
      <c r="BC133" s="203"/>
      <c r="BD133" s="228">
        <f>SUM(BD122:BD132)</f>
        <v>58</v>
      </c>
      <c r="BE133" s="202"/>
    </row>
    <row r="134" spans="1:57" s="31" customFormat="1" ht="17.5" customHeight="1" thickBot="1" x14ac:dyDescent="0.4">
      <c r="A134" s="100"/>
      <c r="B134" s="101"/>
      <c r="C134" s="102"/>
      <c r="D134" s="102"/>
      <c r="E134" s="101"/>
      <c r="F134" s="101"/>
      <c r="G134" s="101"/>
      <c r="H134" s="101"/>
      <c r="I134" s="101"/>
      <c r="J134" s="102"/>
      <c r="K134" s="103"/>
      <c r="L134" s="104"/>
      <c r="M134" s="105"/>
      <c r="N134" s="105"/>
      <c r="O134" s="99"/>
      <c r="P134" s="198"/>
      <c r="Q134" s="68"/>
      <c r="R134" s="68"/>
      <c r="S134" s="68"/>
      <c r="T134" s="68"/>
      <c r="U134" s="209"/>
      <c r="V134" s="199"/>
      <c r="W134" s="200"/>
      <c r="X134" s="201"/>
      <c r="Y134" s="202"/>
      <c r="Z134" s="194"/>
      <c r="AA134" s="203"/>
      <c r="AB134" s="200"/>
      <c r="AC134" s="201"/>
      <c r="AD134" s="201"/>
      <c r="AE134" s="206"/>
      <c r="AF134" s="203"/>
      <c r="AG134" s="200"/>
      <c r="AH134" s="201"/>
      <c r="AI134" s="202"/>
      <c r="AJ134" s="194"/>
      <c r="AK134" s="203"/>
      <c r="AL134" s="200"/>
      <c r="AM134" s="201"/>
      <c r="AN134" s="202"/>
      <c r="AO134" s="194"/>
      <c r="AP134" s="203"/>
      <c r="AQ134" s="200"/>
      <c r="AR134" s="201"/>
      <c r="AS134" s="202"/>
      <c r="AT134" s="194"/>
      <c r="AU134" s="203"/>
      <c r="AV134" s="200"/>
      <c r="AW134" s="201"/>
      <c r="AX134" s="202"/>
      <c r="AY134" s="194"/>
      <c r="AZ134" s="203"/>
      <c r="BA134" s="206"/>
      <c r="BB134" s="207"/>
      <c r="BC134" s="194"/>
      <c r="BD134" s="208"/>
      <c r="BE134" s="202"/>
    </row>
    <row r="135" spans="1:57" s="31" customFormat="1" ht="17.5" customHeight="1" x14ac:dyDescent="0.35">
      <c r="A135" s="241">
        <v>6</v>
      </c>
      <c r="B135" s="242" t="s">
        <v>36</v>
      </c>
      <c r="C135" s="245" t="s">
        <v>171</v>
      </c>
      <c r="D135" s="241" t="s">
        <v>62</v>
      </c>
      <c r="E135" s="324" t="s">
        <v>71</v>
      </c>
      <c r="F135" s="278" t="s">
        <v>58</v>
      </c>
      <c r="G135" s="278">
        <v>8</v>
      </c>
      <c r="H135" s="278">
        <v>2</v>
      </c>
      <c r="I135" s="281">
        <f xml:space="preserve"> SUM(G135*H135)</f>
        <v>16</v>
      </c>
      <c r="J135" s="295">
        <f xml:space="preserve"> I141/8</f>
        <v>4</v>
      </c>
      <c r="K135" s="287" t="s">
        <v>41</v>
      </c>
      <c r="L135" s="54">
        <v>7</v>
      </c>
      <c r="M135" s="288">
        <f>L141/8</f>
        <v>3.75</v>
      </c>
      <c r="N135" s="319">
        <f>SUM(BD135:BD140)/8</f>
        <v>3.75</v>
      </c>
      <c r="O135" s="55">
        <v>1</v>
      </c>
      <c r="P135" s="56" t="s">
        <v>172</v>
      </c>
      <c r="Q135" s="57">
        <v>0.35416666666666669</v>
      </c>
      <c r="R135" s="57">
        <v>0.72916666666666663</v>
      </c>
      <c r="S135" s="57"/>
      <c r="T135" s="57"/>
      <c r="U135" s="118"/>
      <c r="V135" s="58" t="s">
        <v>43</v>
      </c>
      <c r="W135" s="59"/>
      <c r="X135" s="83"/>
      <c r="Y135" s="65"/>
      <c r="Z135" s="29">
        <f t="shared" ref="Z135:Z137" si="145">(Y135-X135)*24</f>
        <v>0</v>
      </c>
      <c r="AA135" s="64">
        <f t="shared" ref="AA135:AA140" si="146">IF(Z135&gt;=6, (Z135-1), IF(Z135&lt;6, Z135))</f>
        <v>0</v>
      </c>
      <c r="AB135" s="59"/>
      <c r="AC135" s="83"/>
      <c r="AD135" s="83"/>
      <c r="AE135" s="62">
        <f t="shared" ref="AE135:AE137" si="147">(AD135-AC135)*24</f>
        <v>0</v>
      </c>
      <c r="AF135" s="64">
        <f t="shared" ref="AF135:AF140" si="148">IF(AE135&gt;=6, (AE135-1), IF(AE135&lt;6, AE135))</f>
        <v>0</v>
      </c>
      <c r="AG135" s="59"/>
      <c r="AH135" s="83"/>
      <c r="AI135" s="65"/>
      <c r="AJ135" s="29">
        <f t="shared" ref="AJ135:AJ137" si="149">(AI135-AH135)*24</f>
        <v>0</v>
      </c>
      <c r="AK135" s="64">
        <f t="shared" ref="AK135:AK140" si="150">IF(AJ135&gt;=6, (AJ135-1), IF(AJ135&lt;6, AJ135))</f>
        <v>0</v>
      </c>
      <c r="AL135" s="59"/>
      <c r="AM135" s="83"/>
      <c r="AN135" s="65"/>
      <c r="AO135" s="29">
        <f t="shared" ref="AO135:AO137" si="151">(AN135-AM135)*24</f>
        <v>0</v>
      </c>
      <c r="AP135" s="64">
        <f t="shared" ref="AP135:AP140" si="152">IF(AO135&gt;=6, (AO135-1), IF(AO135&lt;6, AO135))</f>
        <v>0</v>
      </c>
      <c r="AQ135" s="59"/>
      <c r="AR135" s="83"/>
      <c r="AS135" s="65"/>
      <c r="AT135" s="29">
        <f t="shared" ref="AT135:AT137" si="153">(AS135-AR135)*24</f>
        <v>0</v>
      </c>
      <c r="AU135" s="64">
        <f t="shared" ref="AU135:AU140" si="154">IF(AT135&gt;=6, (AT135-1), IF(AT135&lt;6, AT135))</f>
        <v>0</v>
      </c>
      <c r="AV135" s="59"/>
      <c r="AW135" s="83"/>
      <c r="AX135" s="65"/>
      <c r="AY135" s="29">
        <f t="shared" ref="AY135:AY137" si="155">(AX135-AW135)*24</f>
        <v>0</v>
      </c>
      <c r="AZ135" s="64">
        <f t="shared" ref="AZ135:AZ140" si="156">IF(AY135&gt;=6, (AY135-1), IF(AY135&lt;6, AY135))</f>
        <v>0</v>
      </c>
      <c r="BA135" s="62"/>
      <c r="BB135" s="63">
        <f t="shared" ref="BB135:BB140" si="157">AA135+AF135+AK135+AP135+AU135+AZ135</f>
        <v>0</v>
      </c>
      <c r="BC135" s="13">
        <f t="shared" ref="BC135:BC140" si="158">IF(BB135&gt;0, BB135, IF(BB135=0, L135))</f>
        <v>7</v>
      </c>
      <c r="BD135" s="64">
        <f t="shared" ref="BD135:BD140" si="159">IF(BA135=1, (BC135-L135), IF(BA135=0, BC135))</f>
        <v>7</v>
      </c>
      <c r="BE135" s="65"/>
    </row>
    <row r="136" spans="1:57" s="31" customFormat="1" ht="17.5" customHeight="1" thickBot="1" x14ac:dyDescent="0.4">
      <c r="A136" s="241"/>
      <c r="B136" s="243"/>
      <c r="C136" s="245"/>
      <c r="D136" s="241"/>
      <c r="E136" s="325"/>
      <c r="F136" s="280"/>
      <c r="G136" s="280"/>
      <c r="H136" s="280"/>
      <c r="I136" s="283"/>
      <c r="J136" s="295"/>
      <c r="K136" s="287"/>
      <c r="L136" s="54">
        <v>7</v>
      </c>
      <c r="M136" s="288"/>
      <c r="N136" s="319"/>
      <c r="O136" s="75">
        <v>2</v>
      </c>
      <c r="P136" s="98" t="s">
        <v>173</v>
      </c>
      <c r="Q136" s="86">
        <v>0.375</v>
      </c>
      <c r="R136" s="86">
        <v>0.54166666666666663</v>
      </c>
      <c r="S136" s="86"/>
      <c r="T136" s="86"/>
      <c r="U136" s="118"/>
      <c r="V136" s="88" t="s">
        <v>43</v>
      </c>
      <c r="W136" s="89"/>
      <c r="X136" s="90"/>
      <c r="Y136" s="91"/>
      <c r="Z136" s="77">
        <f t="shared" si="145"/>
        <v>0</v>
      </c>
      <c r="AA136" s="81">
        <f t="shared" si="146"/>
        <v>0</v>
      </c>
      <c r="AB136" s="89"/>
      <c r="AC136" s="90"/>
      <c r="AD136" s="90"/>
      <c r="AE136" s="78">
        <f t="shared" si="147"/>
        <v>0</v>
      </c>
      <c r="AF136" s="81">
        <f t="shared" si="148"/>
        <v>0</v>
      </c>
      <c r="AG136" s="89"/>
      <c r="AH136" s="90"/>
      <c r="AI136" s="91"/>
      <c r="AJ136" s="77">
        <f t="shared" si="149"/>
        <v>0</v>
      </c>
      <c r="AK136" s="81">
        <f t="shared" si="150"/>
        <v>0</v>
      </c>
      <c r="AL136" s="89"/>
      <c r="AM136" s="90"/>
      <c r="AN136" s="91"/>
      <c r="AO136" s="77">
        <f t="shared" si="151"/>
        <v>0</v>
      </c>
      <c r="AP136" s="81">
        <f t="shared" si="152"/>
        <v>0</v>
      </c>
      <c r="AQ136" s="89"/>
      <c r="AR136" s="90"/>
      <c r="AS136" s="91"/>
      <c r="AT136" s="77">
        <f t="shared" si="153"/>
        <v>0</v>
      </c>
      <c r="AU136" s="81">
        <f t="shared" si="154"/>
        <v>0</v>
      </c>
      <c r="AV136" s="89"/>
      <c r="AW136" s="90"/>
      <c r="AX136" s="91"/>
      <c r="AY136" s="77">
        <f t="shared" si="155"/>
        <v>0</v>
      </c>
      <c r="AZ136" s="81">
        <f t="shared" si="156"/>
        <v>0</v>
      </c>
      <c r="BA136" s="78"/>
      <c r="BB136" s="79">
        <f t="shared" si="157"/>
        <v>0</v>
      </c>
      <c r="BC136" s="80">
        <f t="shared" si="158"/>
        <v>7</v>
      </c>
      <c r="BD136" s="81">
        <f t="shared" si="159"/>
        <v>7</v>
      </c>
      <c r="BE136" s="91"/>
    </row>
    <row r="137" spans="1:57" s="31" customFormat="1" ht="17.5" customHeight="1" x14ac:dyDescent="0.35">
      <c r="A137" s="241"/>
      <c r="B137" s="243"/>
      <c r="C137" s="245"/>
      <c r="D137" s="302"/>
      <c r="E137" s="320" t="s">
        <v>71</v>
      </c>
      <c r="F137" s="321" t="s">
        <v>52</v>
      </c>
      <c r="G137" s="249">
        <v>4</v>
      </c>
      <c r="H137" s="249">
        <v>4</v>
      </c>
      <c r="I137" s="256">
        <f xml:space="preserve"> SUM(G137*4)</f>
        <v>16</v>
      </c>
      <c r="J137" s="295"/>
      <c r="K137" s="287"/>
      <c r="L137" s="54">
        <v>4</v>
      </c>
      <c r="M137" s="288"/>
      <c r="N137" s="319"/>
      <c r="O137" s="55">
        <v>1</v>
      </c>
      <c r="P137" s="82" t="s">
        <v>170</v>
      </c>
      <c r="Q137" s="57">
        <v>0.375</v>
      </c>
      <c r="R137" s="57">
        <v>0.70833333333333337</v>
      </c>
      <c r="S137" s="57"/>
      <c r="T137" s="57"/>
      <c r="U137" s="118"/>
      <c r="V137" s="58" t="s">
        <v>65</v>
      </c>
      <c r="W137" s="59"/>
      <c r="X137" s="83"/>
      <c r="Y137" s="65"/>
      <c r="Z137" s="29">
        <f t="shared" si="145"/>
        <v>0</v>
      </c>
      <c r="AA137" s="64">
        <f t="shared" si="146"/>
        <v>0</v>
      </c>
      <c r="AB137" s="59"/>
      <c r="AC137" s="83"/>
      <c r="AD137" s="83"/>
      <c r="AE137" s="62">
        <f t="shared" si="147"/>
        <v>0</v>
      </c>
      <c r="AF137" s="64">
        <f t="shared" si="148"/>
        <v>0</v>
      </c>
      <c r="AG137" s="59"/>
      <c r="AH137" s="83"/>
      <c r="AI137" s="65"/>
      <c r="AJ137" s="29">
        <f t="shared" si="149"/>
        <v>0</v>
      </c>
      <c r="AK137" s="64">
        <f t="shared" si="150"/>
        <v>0</v>
      </c>
      <c r="AL137" s="59"/>
      <c r="AM137" s="83"/>
      <c r="AN137" s="65"/>
      <c r="AO137" s="29">
        <f t="shared" si="151"/>
        <v>0</v>
      </c>
      <c r="AP137" s="64">
        <f t="shared" si="152"/>
        <v>0</v>
      </c>
      <c r="AQ137" s="59"/>
      <c r="AR137" s="83"/>
      <c r="AS137" s="65"/>
      <c r="AT137" s="29">
        <f t="shared" si="153"/>
        <v>0</v>
      </c>
      <c r="AU137" s="64">
        <f t="shared" si="154"/>
        <v>0</v>
      </c>
      <c r="AV137" s="59"/>
      <c r="AW137" s="83"/>
      <c r="AX137" s="65"/>
      <c r="AY137" s="29">
        <f t="shared" si="155"/>
        <v>0</v>
      </c>
      <c r="AZ137" s="64">
        <f t="shared" si="156"/>
        <v>0</v>
      </c>
      <c r="BA137" s="62"/>
      <c r="BB137" s="63">
        <f t="shared" si="157"/>
        <v>0</v>
      </c>
      <c r="BC137" s="13">
        <f t="shared" si="158"/>
        <v>4</v>
      </c>
      <c r="BD137" s="64">
        <f t="shared" si="159"/>
        <v>4</v>
      </c>
      <c r="BE137" s="65"/>
    </row>
    <row r="138" spans="1:57" s="31" customFormat="1" ht="17.5" customHeight="1" x14ac:dyDescent="0.35">
      <c r="A138" s="241"/>
      <c r="B138" s="243"/>
      <c r="C138" s="245"/>
      <c r="D138" s="302"/>
      <c r="E138" s="320"/>
      <c r="F138" s="322"/>
      <c r="G138" s="250"/>
      <c r="H138" s="250"/>
      <c r="I138" s="257"/>
      <c r="J138" s="295"/>
      <c r="K138" s="287"/>
      <c r="L138" s="54">
        <v>4</v>
      </c>
      <c r="M138" s="288"/>
      <c r="N138" s="319"/>
      <c r="O138" s="66">
        <v>2</v>
      </c>
      <c r="P138" s="74" t="s">
        <v>174</v>
      </c>
      <c r="Q138" s="26">
        <v>0.375</v>
      </c>
      <c r="R138" s="26">
        <v>0.54166666666666663</v>
      </c>
      <c r="S138" s="26"/>
      <c r="T138" s="26"/>
      <c r="U138" s="118"/>
      <c r="V138" s="69" t="s">
        <v>43</v>
      </c>
      <c r="W138" s="70"/>
      <c r="X138" s="28"/>
      <c r="Y138" s="73"/>
      <c r="Z138" s="29">
        <f>(Y138-X138)*24</f>
        <v>0</v>
      </c>
      <c r="AA138" s="64">
        <f t="shared" si="146"/>
        <v>0</v>
      </c>
      <c r="AB138" s="70"/>
      <c r="AC138" s="28"/>
      <c r="AD138" s="28"/>
      <c r="AE138" s="62">
        <f>(AD138-AC138)*24</f>
        <v>0</v>
      </c>
      <c r="AF138" s="64">
        <f t="shared" si="148"/>
        <v>0</v>
      </c>
      <c r="AG138" s="70"/>
      <c r="AH138" s="28"/>
      <c r="AI138" s="73"/>
      <c r="AJ138" s="29">
        <f>(AI138-AH138)*24</f>
        <v>0</v>
      </c>
      <c r="AK138" s="64">
        <f t="shared" si="150"/>
        <v>0</v>
      </c>
      <c r="AL138" s="70"/>
      <c r="AM138" s="28"/>
      <c r="AN138" s="73"/>
      <c r="AO138" s="29">
        <f>(AN138-AM138)*24</f>
        <v>0</v>
      </c>
      <c r="AP138" s="64">
        <f t="shared" si="152"/>
        <v>0</v>
      </c>
      <c r="AQ138" s="70"/>
      <c r="AR138" s="28"/>
      <c r="AS138" s="73"/>
      <c r="AT138" s="29">
        <f>(AS138-AR138)*24</f>
        <v>0</v>
      </c>
      <c r="AU138" s="64">
        <f t="shared" si="154"/>
        <v>0</v>
      </c>
      <c r="AV138" s="70"/>
      <c r="AW138" s="28"/>
      <c r="AX138" s="73"/>
      <c r="AY138" s="29">
        <f>(AX138-AW138)*24</f>
        <v>0</v>
      </c>
      <c r="AZ138" s="64">
        <f t="shared" si="156"/>
        <v>0</v>
      </c>
      <c r="BA138" s="62"/>
      <c r="BB138" s="63">
        <f t="shared" si="157"/>
        <v>0</v>
      </c>
      <c r="BC138" s="13">
        <f t="shared" si="158"/>
        <v>4</v>
      </c>
      <c r="BD138" s="64">
        <f t="shared" si="159"/>
        <v>4</v>
      </c>
      <c r="BE138" s="73"/>
    </row>
    <row r="139" spans="1:57" s="31" customFormat="1" ht="17.5" customHeight="1" x14ac:dyDescent="0.35">
      <c r="A139" s="241"/>
      <c r="B139" s="243"/>
      <c r="C139" s="245"/>
      <c r="D139" s="302"/>
      <c r="E139" s="320"/>
      <c r="F139" s="322"/>
      <c r="G139" s="250"/>
      <c r="H139" s="250"/>
      <c r="I139" s="257"/>
      <c r="J139" s="295"/>
      <c r="K139" s="287"/>
      <c r="L139" s="54">
        <v>4</v>
      </c>
      <c r="M139" s="288"/>
      <c r="N139" s="319"/>
      <c r="O139" s="66">
        <v>3</v>
      </c>
      <c r="P139" s="74" t="s">
        <v>175</v>
      </c>
      <c r="Q139" s="26">
        <v>0.375</v>
      </c>
      <c r="R139" s="26">
        <v>0.54166666666666663</v>
      </c>
      <c r="S139" s="26"/>
      <c r="T139" s="26"/>
      <c r="U139" s="118"/>
      <c r="V139" s="69" t="s">
        <v>176</v>
      </c>
      <c r="W139" s="70"/>
      <c r="X139" s="28"/>
      <c r="Y139" s="73"/>
      <c r="Z139" s="29">
        <f>(Y139-X139)*24</f>
        <v>0</v>
      </c>
      <c r="AA139" s="64">
        <f t="shared" si="146"/>
        <v>0</v>
      </c>
      <c r="AB139" s="70"/>
      <c r="AC139" s="28"/>
      <c r="AD139" s="28"/>
      <c r="AE139" s="62">
        <f>(AD139-AC139)*24</f>
        <v>0</v>
      </c>
      <c r="AF139" s="64">
        <f t="shared" si="148"/>
        <v>0</v>
      </c>
      <c r="AG139" s="70"/>
      <c r="AH139" s="28"/>
      <c r="AI139" s="73"/>
      <c r="AJ139" s="29">
        <f>(AI139-AH139)*24</f>
        <v>0</v>
      </c>
      <c r="AK139" s="64">
        <f t="shared" si="150"/>
        <v>0</v>
      </c>
      <c r="AL139" s="70"/>
      <c r="AM139" s="28"/>
      <c r="AN139" s="73"/>
      <c r="AO139" s="29">
        <f>(AN139-AM139)*24</f>
        <v>0</v>
      </c>
      <c r="AP139" s="64">
        <f t="shared" si="152"/>
        <v>0</v>
      </c>
      <c r="AQ139" s="70"/>
      <c r="AR139" s="28"/>
      <c r="AS139" s="73"/>
      <c r="AT139" s="29">
        <f>(AS139-AR139)*24</f>
        <v>0</v>
      </c>
      <c r="AU139" s="64">
        <f t="shared" si="154"/>
        <v>0</v>
      </c>
      <c r="AV139" s="70"/>
      <c r="AW139" s="28"/>
      <c r="AX139" s="73"/>
      <c r="AY139" s="29">
        <f>(AX139-AW139)*24</f>
        <v>0</v>
      </c>
      <c r="AZ139" s="64">
        <f t="shared" si="156"/>
        <v>0</v>
      </c>
      <c r="BA139" s="62"/>
      <c r="BB139" s="63">
        <f t="shared" si="157"/>
        <v>0</v>
      </c>
      <c r="BC139" s="13">
        <f t="shared" si="158"/>
        <v>4</v>
      </c>
      <c r="BD139" s="64">
        <f t="shared" si="159"/>
        <v>4</v>
      </c>
      <c r="BE139" s="73"/>
    </row>
    <row r="140" spans="1:57" s="31" customFormat="1" ht="17.5" customHeight="1" thickBot="1" x14ac:dyDescent="0.4">
      <c r="A140" s="241"/>
      <c r="B140" s="243"/>
      <c r="C140" s="245"/>
      <c r="D140" s="302"/>
      <c r="E140" s="320"/>
      <c r="F140" s="323"/>
      <c r="G140" s="251"/>
      <c r="H140" s="251"/>
      <c r="I140" s="260"/>
      <c r="J140" s="295"/>
      <c r="K140" s="287"/>
      <c r="L140" s="54">
        <v>4</v>
      </c>
      <c r="M140" s="288"/>
      <c r="N140" s="319"/>
      <c r="O140" s="75">
        <v>4</v>
      </c>
      <c r="P140" s="98" t="s">
        <v>177</v>
      </c>
      <c r="Q140" s="86">
        <v>0.375</v>
      </c>
      <c r="R140" s="86">
        <v>0.54166666666666663</v>
      </c>
      <c r="S140" s="86"/>
      <c r="T140" s="86"/>
      <c r="U140" s="118"/>
      <c r="V140" s="88"/>
      <c r="W140" s="89"/>
      <c r="X140" s="90"/>
      <c r="Y140" s="91"/>
      <c r="Z140" s="77">
        <f t="shared" ref="Z140" si="160">(Y140-X140)*24</f>
        <v>0</v>
      </c>
      <c r="AA140" s="81">
        <f t="shared" si="146"/>
        <v>0</v>
      </c>
      <c r="AB140" s="89"/>
      <c r="AC140" s="90"/>
      <c r="AD140" s="90"/>
      <c r="AE140" s="78">
        <f t="shared" ref="AE140" si="161">(AD140-AC140)*24</f>
        <v>0</v>
      </c>
      <c r="AF140" s="81">
        <f t="shared" si="148"/>
        <v>0</v>
      </c>
      <c r="AG140" s="89"/>
      <c r="AH140" s="90"/>
      <c r="AI140" s="91"/>
      <c r="AJ140" s="77">
        <f t="shared" ref="AJ140" si="162">(AI140-AH140)*24</f>
        <v>0</v>
      </c>
      <c r="AK140" s="81">
        <f t="shared" si="150"/>
        <v>0</v>
      </c>
      <c r="AL140" s="89"/>
      <c r="AM140" s="90"/>
      <c r="AN140" s="91"/>
      <c r="AO140" s="77">
        <f t="shared" ref="AO140" si="163">(AN140-AM140)*24</f>
        <v>0</v>
      </c>
      <c r="AP140" s="81">
        <f t="shared" si="152"/>
        <v>0</v>
      </c>
      <c r="AQ140" s="89"/>
      <c r="AR140" s="90"/>
      <c r="AS140" s="91"/>
      <c r="AT140" s="77">
        <f t="shared" ref="AT140" si="164">(AS140-AR140)*24</f>
        <v>0</v>
      </c>
      <c r="AU140" s="81">
        <f t="shared" si="154"/>
        <v>0</v>
      </c>
      <c r="AV140" s="89"/>
      <c r="AW140" s="90"/>
      <c r="AX140" s="91"/>
      <c r="AY140" s="77">
        <f t="shared" ref="AY140" si="165">(AX140-AW140)*24</f>
        <v>0</v>
      </c>
      <c r="AZ140" s="81">
        <f t="shared" si="156"/>
        <v>0</v>
      </c>
      <c r="BA140" s="78"/>
      <c r="BB140" s="79">
        <f t="shared" si="157"/>
        <v>0</v>
      </c>
      <c r="BC140" s="80">
        <f t="shared" si="158"/>
        <v>4</v>
      </c>
      <c r="BD140" s="81">
        <f t="shared" si="159"/>
        <v>4</v>
      </c>
      <c r="BE140" s="91"/>
    </row>
    <row r="141" spans="1:57" s="31" customFormat="1" ht="17.5" customHeight="1" x14ac:dyDescent="0.35">
      <c r="A141" s="241"/>
      <c r="B141" s="243"/>
      <c r="C141" s="245"/>
      <c r="D141" s="241"/>
      <c r="E141" s="313" t="s">
        <v>56</v>
      </c>
      <c r="F141" s="259"/>
      <c r="G141" s="92"/>
      <c r="H141" s="141">
        <v>6</v>
      </c>
      <c r="I141" s="94">
        <f>SUM(I135:I137)</f>
        <v>32</v>
      </c>
      <c r="J141" s="295"/>
      <c r="K141" s="287"/>
      <c r="L141" s="95">
        <f>SUM(L135:L140)</f>
        <v>30</v>
      </c>
      <c r="M141" s="288"/>
      <c r="N141" s="319"/>
      <c r="O141" s="99"/>
      <c r="P141" s="198"/>
      <c r="Q141" s="68"/>
      <c r="R141" s="68"/>
      <c r="S141" s="68"/>
      <c r="T141" s="68"/>
      <c r="U141" s="209"/>
      <c r="V141" s="199"/>
      <c r="W141" s="200"/>
      <c r="X141" s="201"/>
      <c r="Y141" s="202"/>
      <c r="Z141" s="203"/>
      <c r="AA141" s="203"/>
      <c r="AB141" s="200"/>
      <c r="AC141" s="201"/>
      <c r="AD141" s="201"/>
      <c r="AE141" s="204"/>
      <c r="AF141" s="203"/>
      <c r="AG141" s="200"/>
      <c r="AH141" s="201"/>
      <c r="AI141" s="202"/>
      <c r="AJ141" s="203"/>
      <c r="AK141" s="203"/>
      <c r="AL141" s="200"/>
      <c r="AM141" s="201"/>
      <c r="AN141" s="202"/>
      <c r="AO141" s="203"/>
      <c r="AP141" s="203"/>
      <c r="AQ141" s="200"/>
      <c r="AR141" s="201"/>
      <c r="AS141" s="202"/>
      <c r="AT141" s="203"/>
      <c r="AU141" s="203"/>
      <c r="AV141" s="200"/>
      <c r="AW141" s="201"/>
      <c r="AX141" s="202"/>
      <c r="AY141" s="203"/>
      <c r="AZ141" s="203"/>
      <c r="BA141" s="204"/>
      <c r="BB141" s="205"/>
      <c r="BC141" s="203"/>
      <c r="BD141" s="228">
        <f>SUM(BD135:BD140)</f>
        <v>30</v>
      </c>
      <c r="BE141" s="202"/>
    </row>
    <row r="142" spans="1:57" s="31" customFormat="1" ht="17.5" hidden="1" customHeight="1" x14ac:dyDescent="0.35">
      <c r="A142" s="241"/>
      <c r="B142" s="243"/>
      <c r="C142" s="245"/>
      <c r="D142" s="241"/>
      <c r="E142" s="158" t="s">
        <v>121</v>
      </c>
      <c r="F142" s="158" t="s">
        <v>92</v>
      </c>
      <c r="G142" s="158">
        <v>8</v>
      </c>
      <c r="H142" s="158">
        <v>1</v>
      </c>
      <c r="I142" s="159">
        <f xml:space="preserve"> SUM(G142*H142)</f>
        <v>8</v>
      </c>
      <c r="J142" s="326">
        <f xml:space="preserve"> I144/8</f>
        <v>0</v>
      </c>
      <c r="K142" s="329" t="s">
        <v>57</v>
      </c>
      <c r="L142" s="160"/>
      <c r="M142" s="161"/>
      <c r="N142" s="161"/>
      <c r="O142" s="99"/>
      <c r="P142" s="198"/>
      <c r="Q142" s="68"/>
      <c r="R142" s="68"/>
      <c r="S142" s="68"/>
      <c r="T142" s="68"/>
      <c r="U142" s="209"/>
      <c r="V142" s="199"/>
      <c r="W142" s="200"/>
      <c r="X142" s="201"/>
      <c r="Y142" s="202"/>
      <c r="Z142" s="203"/>
      <c r="AA142" s="203"/>
      <c r="AB142" s="200"/>
      <c r="AC142" s="201"/>
      <c r="AD142" s="201"/>
      <c r="AE142" s="204"/>
      <c r="AF142" s="203"/>
      <c r="AG142" s="200"/>
      <c r="AH142" s="201"/>
      <c r="AI142" s="202"/>
      <c r="AJ142" s="203"/>
      <c r="AK142" s="203"/>
      <c r="AL142" s="200"/>
      <c r="AM142" s="201"/>
      <c r="AN142" s="202"/>
      <c r="AO142" s="203"/>
      <c r="AP142" s="203"/>
      <c r="AQ142" s="200"/>
      <c r="AR142" s="201"/>
      <c r="AS142" s="202"/>
      <c r="AT142" s="203"/>
      <c r="AU142" s="203"/>
      <c r="AV142" s="200"/>
      <c r="AW142" s="201"/>
      <c r="AX142" s="202"/>
      <c r="AY142" s="203"/>
      <c r="AZ142" s="203"/>
      <c r="BA142" s="204"/>
      <c r="BB142" s="205"/>
      <c r="BC142" s="203"/>
      <c r="BD142" s="222"/>
      <c r="BE142" s="202"/>
    </row>
    <row r="143" spans="1:57" s="31" customFormat="1" ht="17.5" hidden="1" customHeight="1" thickBot="1" x14ac:dyDescent="0.4">
      <c r="A143" s="241"/>
      <c r="B143" s="243"/>
      <c r="C143" s="245"/>
      <c r="D143" s="241"/>
      <c r="E143" s="158" t="s">
        <v>39</v>
      </c>
      <c r="F143" s="158" t="s">
        <v>67</v>
      </c>
      <c r="G143" s="158">
        <v>4</v>
      </c>
      <c r="H143" s="158">
        <v>1</v>
      </c>
      <c r="I143" s="159">
        <f xml:space="preserve"> SUM(G143*H143)</f>
        <v>4</v>
      </c>
      <c r="J143" s="326"/>
      <c r="K143" s="329"/>
      <c r="L143" s="160"/>
      <c r="M143" s="161"/>
      <c r="N143" s="161"/>
      <c r="O143" s="99"/>
      <c r="P143" s="198"/>
      <c r="Q143" s="68"/>
      <c r="R143" s="68"/>
      <c r="S143" s="68"/>
      <c r="T143" s="68"/>
      <c r="U143" s="209"/>
      <c r="V143" s="199"/>
      <c r="W143" s="200"/>
      <c r="X143" s="201"/>
      <c r="Y143" s="202"/>
      <c r="Z143" s="203"/>
      <c r="AA143" s="203"/>
      <c r="AB143" s="200"/>
      <c r="AC143" s="201"/>
      <c r="AD143" s="201"/>
      <c r="AE143" s="204"/>
      <c r="AF143" s="203"/>
      <c r="AG143" s="200"/>
      <c r="AH143" s="201"/>
      <c r="AI143" s="202"/>
      <c r="AJ143" s="203"/>
      <c r="AK143" s="203"/>
      <c r="AL143" s="200"/>
      <c r="AM143" s="201"/>
      <c r="AN143" s="202"/>
      <c r="AO143" s="203"/>
      <c r="AP143" s="203"/>
      <c r="AQ143" s="200"/>
      <c r="AR143" s="201"/>
      <c r="AS143" s="202"/>
      <c r="AT143" s="203"/>
      <c r="AU143" s="203"/>
      <c r="AV143" s="200"/>
      <c r="AW143" s="201"/>
      <c r="AX143" s="202"/>
      <c r="AY143" s="203"/>
      <c r="AZ143" s="203"/>
      <c r="BA143" s="204"/>
      <c r="BB143" s="205"/>
      <c r="BC143" s="203"/>
      <c r="BD143" s="222"/>
      <c r="BE143" s="202"/>
    </row>
    <row r="144" spans="1:57" s="31" customFormat="1" ht="17.5" hidden="1" customHeight="1" thickBot="1" x14ac:dyDescent="0.4">
      <c r="A144" s="241"/>
      <c r="B144" s="244"/>
      <c r="C144" s="245"/>
      <c r="D144" s="241"/>
      <c r="E144" s="258" t="s">
        <v>60</v>
      </c>
      <c r="F144" s="259"/>
      <c r="G144" s="92"/>
      <c r="H144" s="141">
        <v>0</v>
      </c>
      <c r="I144" s="94">
        <v>0</v>
      </c>
      <c r="J144" s="326"/>
      <c r="K144" s="329"/>
      <c r="L144" s="160"/>
      <c r="M144" s="161"/>
      <c r="N144" s="161"/>
      <c r="O144" s="99"/>
      <c r="P144" s="198"/>
      <c r="Q144" s="68"/>
      <c r="R144" s="68"/>
      <c r="S144" s="68"/>
      <c r="T144" s="68"/>
      <c r="U144" s="209"/>
      <c r="V144" s="199"/>
      <c r="W144" s="200"/>
      <c r="X144" s="201"/>
      <c r="Y144" s="202"/>
      <c r="Z144" s="203"/>
      <c r="AA144" s="203"/>
      <c r="AB144" s="200"/>
      <c r="AC144" s="201"/>
      <c r="AD144" s="201"/>
      <c r="AE144" s="204"/>
      <c r="AF144" s="203"/>
      <c r="AG144" s="200"/>
      <c r="AH144" s="201"/>
      <c r="AI144" s="202"/>
      <c r="AJ144" s="203"/>
      <c r="AK144" s="203"/>
      <c r="AL144" s="200"/>
      <c r="AM144" s="201"/>
      <c r="AN144" s="202"/>
      <c r="AO144" s="203"/>
      <c r="AP144" s="203"/>
      <c r="AQ144" s="200"/>
      <c r="AR144" s="201"/>
      <c r="AS144" s="202"/>
      <c r="AT144" s="203"/>
      <c r="AU144" s="203"/>
      <c r="AV144" s="200"/>
      <c r="AW144" s="201"/>
      <c r="AX144" s="202"/>
      <c r="AY144" s="203"/>
      <c r="AZ144" s="203"/>
      <c r="BA144" s="204"/>
      <c r="BB144" s="205"/>
      <c r="BC144" s="203"/>
      <c r="BD144" s="222"/>
      <c r="BE144" s="202"/>
    </row>
    <row r="145" spans="1:57" s="31" customFormat="1" ht="17.5" customHeight="1" thickBot="1" x14ac:dyDescent="0.4">
      <c r="A145" s="100"/>
      <c r="B145" s="101"/>
      <c r="C145" s="102"/>
      <c r="D145" s="102"/>
      <c r="E145" s="101"/>
      <c r="F145" s="101"/>
      <c r="G145" s="101"/>
      <c r="H145" s="101"/>
      <c r="I145" s="101"/>
      <c r="J145" s="102"/>
      <c r="K145" s="103"/>
      <c r="L145" s="104"/>
      <c r="M145" s="105"/>
      <c r="N145" s="105"/>
      <c r="O145" s="99"/>
      <c r="P145" s="198"/>
      <c r="Q145" s="68"/>
      <c r="R145" s="68"/>
      <c r="S145" s="68"/>
      <c r="T145" s="68"/>
      <c r="U145" s="209"/>
      <c r="V145" s="199"/>
      <c r="W145" s="200"/>
      <c r="X145" s="201"/>
      <c r="Y145" s="202"/>
      <c r="Z145" s="203"/>
      <c r="AA145" s="203"/>
      <c r="AB145" s="200"/>
      <c r="AC145" s="201"/>
      <c r="AD145" s="201"/>
      <c r="AE145" s="204"/>
      <c r="AF145" s="203"/>
      <c r="AG145" s="200"/>
      <c r="AH145" s="201"/>
      <c r="AI145" s="202"/>
      <c r="AJ145" s="203"/>
      <c r="AK145" s="203"/>
      <c r="AL145" s="200"/>
      <c r="AM145" s="201"/>
      <c r="AN145" s="202"/>
      <c r="AO145" s="203"/>
      <c r="AP145" s="203"/>
      <c r="AQ145" s="200"/>
      <c r="AR145" s="201"/>
      <c r="AS145" s="202"/>
      <c r="AT145" s="203"/>
      <c r="AU145" s="203"/>
      <c r="AV145" s="200"/>
      <c r="AW145" s="201"/>
      <c r="AX145" s="202"/>
      <c r="AY145" s="203"/>
      <c r="AZ145" s="203"/>
      <c r="BA145" s="206"/>
      <c r="BB145" s="207"/>
      <c r="BC145" s="194"/>
      <c r="BD145" s="208"/>
      <c r="BE145" s="202"/>
    </row>
    <row r="146" spans="1:57" s="31" customFormat="1" ht="17.5" customHeight="1" thickBot="1" x14ac:dyDescent="0.4">
      <c r="A146" s="241">
        <v>7</v>
      </c>
      <c r="B146" s="242" t="s">
        <v>36</v>
      </c>
      <c r="C146" s="318" t="s">
        <v>178</v>
      </c>
      <c r="D146" s="245" t="s">
        <v>179</v>
      </c>
      <c r="E146" s="51" t="s">
        <v>96</v>
      </c>
      <c r="F146" s="51" t="s">
        <v>180</v>
      </c>
      <c r="G146" s="51">
        <v>4</v>
      </c>
      <c r="H146" s="51">
        <v>1</v>
      </c>
      <c r="I146" s="108">
        <f xml:space="preserve"> SUM(G146*H146)</f>
        <v>4</v>
      </c>
      <c r="J146" s="295">
        <f xml:space="preserve"> I149/8</f>
        <v>2.625</v>
      </c>
      <c r="K146" s="287" t="s">
        <v>41</v>
      </c>
      <c r="L146" s="54">
        <v>4</v>
      </c>
      <c r="M146" s="288">
        <f>L149/8</f>
        <v>2.375</v>
      </c>
      <c r="N146" s="288">
        <f>SUM(BD146:BD148)/8</f>
        <v>2.375</v>
      </c>
      <c r="O146" s="151">
        <v>1</v>
      </c>
      <c r="P146" s="120" t="s">
        <v>181</v>
      </c>
      <c r="Q146" s="111">
        <v>0.29166666666666669</v>
      </c>
      <c r="R146" s="111">
        <v>0.625</v>
      </c>
      <c r="S146" s="111"/>
      <c r="T146" s="111"/>
      <c r="U146" s="118"/>
      <c r="V146" s="132" t="s">
        <v>43</v>
      </c>
      <c r="W146" s="112"/>
      <c r="X146" s="121"/>
      <c r="Y146" s="122"/>
      <c r="Z146" s="113">
        <f t="shared" ref="Z146:Z148" si="166">(Y146-X146)*24</f>
        <v>0</v>
      </c>
      <c r="AA146" s="81">
        <f t="shared" ref="AA146:AA148" si="167">IF(Z146&gt;6, (Z146-1), IF(Z146&lt;6, Z146))</f>
        <v>0</v>
      </c>
      <c r="AB146" s="112"/>
      <c r="AC146" s="121"/>
      <c r="AD146" s="121"/>
      <c r="AE146" s="123">
        <f t="shared" ref="AE146:AE148" si="168">(AD146-AC146)*24</f>
        <v>0</v>
      </c>
      <c r="AF146" s="81">
        <f t="shared" ref="AF146:AF148" si="169">IF(AE146&gt;6, (AE146-1), IF(AE146&lt;6, AE146))</f>
        <v>0</v>
      </c>
      <c r="AG146" s="112"/>
      <c r="AH146" s="121"/>
      <c r="AI146" s="122"/>
      <c r="AJ146" s="113">
        <f t="shared" ref="AJ146:AJ148" si="170">(AI146-AH146)*24</f>
        <v>0</v>
      </c>
      <c r="AK146" s="81">
        <f t="shared" ref="AK146:AK148" si="171">IF(AJ146&gt;6, (AJ146-1), IF(AJ146&lt;6, AJ146))</f>
        <v>0</v>
      </c>
      <c r="AL146" s="112"/>
      <c r="AM146" s="121"/>
      <c r="AN146" s="122"/>
      <c r="AO146" s="113">
        <f t="shared" ref="AO146:AO148" si="172">(AN146-AM146)*24</f>
        <v>0</v>
      </c>
      <c r="AP146" s="81">
        <f t="shared" ref="AP146:AP148" si="173">IF(AO146&gt;6, (AO146-1), IF(AO146&lt;6, AO146))</f>
        <v>0</v>
      </c>
      <c r="AQ146" s="112"/>
      <c r="AR146" s="121"/>
      <c r="AS146" s="122"/>
      <c r="AT146" s="113">
        <f t="shared" ref="AT146:AT148" si="174">(AS146-AR146)*24</f>
        <v>0</v>
      </c>
      <c r="AU146" s="81">
        <f t="shared" ref="AU146:AU148" si="175">IF(AT146&gt;6, (AT146-1), IF(AT146&lt;6, AT146))</f>
        <v>0</v>
      </c>
      <c r="AV146" s="112"/>
      <c r="AW146" s="121"/>
      <c r="AX146" s="122"/>
      <c r="AY146" s="113">
        <f t="shared" ref="AY146:AY148" si="176">(AX146-AW146)*24</f>
        <v>0</v>
      </c>
      <c r="AZ146" s="81">
        <f t="shared" ref="AZ146:AZ148" si="177">IF(AY146&gt;6, (AY146-1), IF(AY146&lt;6, AY146))</f>
        <v>0</v>
      </c>
      <c r="BA146" s="78"/>
      <c r="BB146" s="79">
        <f t="shared" ref="BB146:BB150" si="178">AA146+AF146+AK146+AP146+AU146+AZ146</f>
        <v>0</v>
      </c>
      <c r="BC146" s="80">
        <f>IF(BB146&gt;0, BB146, IF(BB146=0, L146))</f>
        <v>4</v>
      </c>
      <c r="BD146" s="81">
        <f>IF(BA146=1, (BC146-L146), IF(BA146=0, BC146))</f>
        <v>4</v>
      </c>
      <c r="BE146" s="122"/>
    </row>
    <row r="147" spans="1:57" s="31" customFormat="1" ht="17.5" customHeight="1" thickBot="1" x14ac:dyDescent="0.4">
      <c r="A147" s="241"/>
      <c r="B147" s="243"/>
      <c r="C147" s="318"/>
      <c r="D147" s="245"/>
      <c r="E147" s="51" t="s">
        <v>39</v>
      </c>
      <c r="F147" s="51" t="s">
        <v>58</v>
      </c>
      <c r="G147" s="51">
        <v>9</v>
      </c>
      <c r="H147" s="51">
        <v>1</v>
      </c>
      <c r="I147" s="108">
        <f xml:space="preserve"> SUM(G147*H147)</f>
        <v>9</v>
      </c>
      <c r="J147" s="295"/>
      <c r="K147" s="287"/>
      <c r="L147" s="54">
        <v>8</v>
      </c>
      <c r="M147" s="288"/>
      <c r="N147" s="288"/>
      <c r="O147" s="151">
        <v>1</v>
      </c>
      <c r="P147" s="110" t="s">
        <v>182</v>
      </c>
      <c r="Q147" s="111">
        <v>0.33333333333333331</v>
      </c>
      <c r="R147" s="111">
        <v>0.70833333333333337</v>
      </c>
      <c r="S147" s="111"/>
      <c r="T147" s="111"/>
      <c r="U147" s="118"/>
      <c r="V147" s="88" t="s">
        <v>73</v>
      </c>
      <c r="W147" s="112"/>
      <c r="X147" s="121"/>
      <c r="Y147" s="122"/>
      <c r="Z147" s="113">
        <f t="shared" si="166"/>
        <v>0</v>
      </c>
      <c r="AA147" s="81">
        <f t="shared" si="167"/>
        <v>0</v>
      </c>
      <c r="AB147" s="112"/>
      <c r="AC147" s="121"/>
      <c r="AD147" s="121"/>
      <c r="AE147" s="123">
        <f t="shared" si="168"/>
        <v>0</v>
      </c>
      <c r="AF147" s="81">
        <f t="shared" si="169"/>
        <v>0</v>
      </c>
      <c r="AG147" s="112"/>
      <c r="AH147" s="121"/>
      <c r="AI147" s="122"/>
      <c r="AJ147" s="113">
        <f t="shared" si="170"/>
        <v>0</v>
      </c>
      <c r="AK147" s="81">
        <f t="shared" si="171"/>
        <v>0</v>
      </c>
      <c r="AL147" s="112"/>
      <c r="AM147" s="121"/>
      <c r="AN147" s="122"/>
      <c r="AO147" s="113">
        <f t="shared" si="172"/>
        <v>0</v>
      </c>
      <c r="AP147" s="81">
        <f t="shared" si="173"/>
        <v>0</v>
      </c>
      <c r="AQ147" s="112"/>
      <c r="AR147" s="121"/>
      <c r="AS147" s="122"/>
      <c r="AT147" s="113">
        <f t="shared" si="174"/>
        <v>0</v>
      </c>
      <c r="AU147" s="81">
        <f t="shared" si="175"/>
        <v>0</v>
      </c>
      <c r="AV147" s="112"/>
      <c r="AW147" s="121"/>
      <c r="AX147" s="122"/>
      <c r="AY147" s="113">
        <f t="shared" si="176"/>
        <v>0</v>
      </c>
      <c r="AZ147" s="81">
        <f t="shared" si="177"/>
        <v>0</v>
      </c>
      <c r="BA147" s="78"/>
      <c r="BB147" s="79">
        <f t="shared" si="178"/>
        <v>0</v>
      </c>
      <c r="BC147" s="115">
        <f>IF(BB147&gt;0, BB147, IF(BB147=0, L147))</f>
        <v>8</v>
      </c>
      <c r="BD147" s="81">
        <f>IF(BA147=1, (BC147-L147), IF(BA147=0, BC147))</f>
        <v>8</v>
      </c>
      <c r="BE147" s="122"/>
    </row>
    <row r="148" spans="1:57" s="31" customFormat="1" ht="17.5" customHeight="1" thickBot="1" x14ac:dyDescent="0.4">
      <c r="A148" s="241"/>
      <c r="B148" s="243"/>
      <c r="C148" s="318"/>
      <c r="D148" s="245"/>
      <c r="E148" s="51" t="s">
        <v>81</v>
      </c>
      <c r="F148" s="51" t="s">
        <v>53</v>
      </c>
      <c r="G148" s="51">
        <v>8</v>
      </c>
      <c r="H148" s="51">
        <v>1</v>
      </c>
      <c r="I148" s="108">
        <f xml:space="preserve"> SUM(G148*H148)</f>
        <v>8</v>
      </c>
      <c r="J148" s="295"/>
      <c r="K148" s="287"/>
      <c r="L148" s="54">
        <v>7</v>
      </c>
      <c r="M148" s="288"/>
      <c r="N148" s="288"/>
      <c r="O148" s="151">
        <v>1</v>
      </c>
      <c r="P148" s="120" t="s">
        <v>183</v>
      </c>
      <c r="Q148" s="111">
        <v>0.45833333333333331</v>
      </c>
      <c r="R148" s="111">
        <v>0.79166666666666663</v>
      </c>
      <c r="S148" s="111"/>
      <c r="T148" s="111"/>
      <c r="U148" s="118"/>
      <c r="V148" s="132" t="s">
        <v>43</v>
      </c>
      <c r="W148" s="112"/>
      <c r="X148" s="121"/>
      <c r="Y148" s="122"/>
      <c r="Z148" s="113">
        <f t="shared" si="166"/>
        <v>0</v>
      </c>
      <c r="AA148" s="81">
        <f t="shared" si="167"/>
        <v>0</v>
      </c>
      <c r="AB148" s="112"/>
      <c r="AC148" s="121"/>
      <c r="AD148" s="121"/>
      <c r="AE148" s="123">
        <f t="shared" si="168"/>
        <v>0</v>
      </c>
      <c r="AF148" s="81">
        <f t="shared" si="169"/>
        <v>0</v>
      </c>
      <c r="AG148" s="112"/>
      <c r="AH148" s="121"/>
      <c r="AI148" s="122"/>
      <c r="AJ148" s="113">
        <f t="shared" si="170"/>
        <v>0</v>
      </c>
      <c r="AK148" s="81">
        <f t="shared" si="171"/>
        <v>0</v>
      </c>
      <c r="AL148" s="112"/>
      <c r="AM148" s="121"/>
      <c r="AN148" s="122"/>
      <c r="AO148" s="113">
        <f t="shared" si="172"/>
        <v>0</v>
      </c>
      <c r="AP148" s="81">
        <f t="shared" si="173"/>
        <v>0</v>
      </c>
      <c r="AQ148" s="112"/>
      <c r="AR148" s="121"/>
      <c r="AS148" s="122"/>
      <c r="AT148" s="113">
        <f t="shared" si="174"/>
        <v>0</v>
      </c>
      <c r="AU148" s="81">
        <f t="shared" si="175"/>
        <v>0</v>
      </c>
      <c r="AV148" s="112"/>
      <c r="AW148" s="121"/>
      <c r="AX148" s="122"/>
      <c r="AY148" s="113">
        <f t="shared" si="176"/>
        <v>0</v>
      </c>
      <c r="AZ148" s="81">
        <f t="shared" si="177"/>
        <v>0</v>
      </c>
      <c r="BA148" s="78"/>
      <c r="BB148" s="79">
        <f t="shared" si="178"/>
        <v>0</v>
      </c>
      <c r="BC148" s="115">
        <f>IF(BB148&gt;0, BB148, IF(BB148=0, L148))</f>
        <v>7</v>
      </c>
      <c r="BD148" s="81">
        <f>IF(BA148=1, (BC148-L148), IF(BA148=0, BC148))</f>
        <v>7</v>
      </c>
      <c r="BE148" s="122"/>
    </row>
    <row r="149" spans="1:57" s="31" customFormat="1" ht="17.5" customHeight="1" thickBot="1" x14ac:dyDescent="0.4">
      <c r="A149" s="241"/>
      <c r="B149" s="243"/>
      <c r="C149" s="318"/>
      <c r="D149" s="245"/>
      <c r="E149" s="258" t="s">
        <v>56</v>
      </c>
      <c r="F149" s="259"/>
      <c r="G149" s="92"/>
      <c r="H149" s="141">
        <f>SUM(H146:H148)</f>
        <v>3</v>
      </c>
      <c r="I149" s="94">
        <f>SUM(I146:I148)</f>
        <v>21</v>
      </c>
      <c r="J149" s="295"/>
      <c r="K149" s="287"/>
      <c r="L149" s="95">
        <f>SUM(L146:L148)</f>
        <v>19</v>
      </c>
      <c r="M149" s="288"/>
      <c r="N149" s="288"/>
      <c r="O149" s="153"/>
      <c r="P149" s="198"/>
      <c r="Q149" s="68"/>
      <c r="R149" s="68"/>
      <c r="S149" s="68"/>
      <c r="T149" s="68"/>
      <c r="U149" s="209"/>
      <c r="V149" s="199"/>
      <c r="W149" s="200"/>
      <c r="X149" s="201"/>
      <c r="Y149" s="202"/>
      <c r="Z149" s="203"/>
      <c r="AA149" s="203"/>
      <c r="AB149" s="200"/>
      <c r="AC149" s="201"/>
      <c r="AD149" s="201"/>
      <c r="AE149" s="204"/>
      <c r="AF149" s="203"/>
      <c r="AG149" s="200"/>
      <c r="AH149" s="201"/>
      <c r="AI149" s="202"/>
      <c r="AJ149" s="203"/>
      <c r="AK149" s="203"/>
      <c r="AL149" s="200"/>
      <c r="AM149" s="201"/>
      <c r="AN149" s="202"/>
      <c r="AO149" s="203"/>
      <c r="AP149" s="203"/>
      <c r="AQ149" s="200"/>
      <c r="AR149" s="201"/>
      <c r="AS149" s="202"/>
      <c r="AT149" s="203"/>
      <c r="AU149" s="203"/>
      <c r="AV149" s="200"/>
      <c r="AW149" s="201"/>
      <c r="AX149" s="202"/>
      <c r="AY149" s="203"/>
      <c r="AZ149" s="203"/>
      <c r="BA149" s="206"/>
      <c r="BB149" s="223"/>
      <c r="BC149" s="197"/>
      <c r="BD149" s="228">
        <f>SUM(BD146:BD148)</f>
        <v>19</v>
      </c>
      <c r="BE149" s="202"/>
    </row>
    <row r="150" spans="1:57" s="31" customFormat="1" ht="17.5" customHeight="1" thickBot="1" x14ac:dyDescent="0.4">
      <c r="A150" s="241"/>
      <c r="B150" s="243"/>
      <c r="C150" s="318"/>
      <c r="D150" s="245"/>
      <c r="E150" s="51" t="s">
        <v>39</v>
      </c>
      <c r="F150" s="51" t="s">
        <v>40</v>
      </c>
      <c r="G150" s="51">
        <v>4</v>
      </c>
      <c r="H150" s="51">
        <v>1</v>
      </c>
      <c r="I150" s="108">
        <f xml:space="preserve"> SUM(G150*H150)</f>
        <v>4</v>
      </c>
      <c r="J150" s="326">
        <f xml:space="preserve"> I151/8</f>
        <v>0.5</v>
      </c>
      <c r="K150" s="327" t="s">
        <v>57</v>
      </c>
      <c r="L150" s="162">
        <v>4</v>
      </c>
      <c r="M150" s="328">
        <f>L150/8</f>
        <v>0.5</v>
      </c>
      <c r="N150" s="328">
        <f>BD150/8</f>
        <v>0.5</v>
      </c>
      <c r="O150" s="151">
        <v>1</v>
      </c>
      <c r="P150" s="120"/>
      <c r="Q150" s="111"/>
      <c r="R150" s="111"/>
      <c r="S150" s="111"/>
      <c r="T150" s="111"/>
      <c r="U150" s="118"/>
      <c r="V150" s="132"/>
      <c r="W150" s="112"/>
      <c r="X150" s="121"/>
      <c r="Y150" s="122"/>
      <c r="Z150" s="113">
        <f t="shared" ref="Z150" si="179">(Y150-X150)*24</f>
        <v>0</v>
      </c>
      <c r="AA150" s="81">
        <f t="shared" ref="AA150" si="180">IF(Z150&gt;=6, (Z150-1), IF(Z150&lt;6, Z150))</f>
        <v>0</v>
      </c>
      <c r="AB150" s="112"/>
      <c r="AC150" s="121"/>
      <c r="AD150" s="121"/>
      <c r="AE150" s="123">
        <f t="shared" ref="AE150" si="181">(AD150-AC150)*24</f>
        <v>0</v>
      </c>
      <c r="AF150" s="81">
        <f t="shared" ref="AF150" si="182">IF(AE150&gt;=6, (AE150-1), IF(AE150&lt;6, AE150))</f>
        <v>0</v>
      </c>
      <c r="AG150" s="112"/>
      <c r="AH150" s="121"/>
      <c r="AI150" s="122"/>
      <c r="AJ150" s="113">
        <f t="shared" ref="AJ150" si="183">(AI150-AH150)*24</f>
        <v>0</v>
      </c>
      <c r="AK150" s="81">
        <f t="shared" ref="AK150" si="184">IF(AJ150&gt;=6, (AJ150-1), IF(AJ150&lt;6, AJ150))</f>
        <v>0</v>
      </c>
      <c r="AL150" s="112"/>
      <c r="AM150" s="121"/>
      <c r="AN150" s="122"/>
      <c r="AO150" s="113">
        <f t="shared" ref="AO150" si="185">(AN150-AM150)*24</f>
        <v>0</v>
      </c>
      <c r="AP150" s="81">
        <f t="shared" ref="AP150" si="186">IF(AO150&gt;=6, (AO150-1), IF(AO150&lt;6, AO150))</f>
        <v>0</v>
      </c>
      <c r="AQ150" s="112"/>
      <c r="AR150" s="121"/>
      <c r="AS150" s="122"/>
      <c r="AT150" s="113">
        <f t="shared" ref="AT150" si="187">(AS150-AR150)*24</f>
        <v>0</v>
      </c>
      <c r="AU150" s="81">
        <f t="shared" ref="AU150" si="188">IF(AT150&gt;=6, (AT150-1), IF(AT150&lt;6, AT150))</f>
        <v>0</v>
      </c>
      <c r="AV150" s="112"/>
      <c r="AW150" s="121"/>
      <c r="AX150" s="122"/>
      <c r="AY150" s="113">
        <f t="shared" ref="AY150" si="189">(AX150-AW150)*24</f>
        <v>0</v>
      </c>
      <c r="AZ150" s="81">
        <f t="shared" ref="AZ150" si="190">IF(AY150&gt;=6, (AY150-1), IF(AY150&lt;6, AY150))</f>
        <v>0</v>
      </c>
      <c r="BA150" s="78"/>
      <c r="BB150" s="79">
        <f t="shared" si="178"/>
        <v>0</v>
      </c>
      <c r="BC150" s="80">
        <f>IF(BB150&gt;0, BB150, IF(BB150=0, L150))</f>
        <v>4</v>
      </c>
      <c r="BD150" s="81">
        <f>IF(BA150=1, (BC150-L150), IF(BA150=0, BC150))</f>
        <v>4</v>
      </c>
      <c r="BE150" s="122"/>
    </row>
    <row r="151" spans="1:57" s="31" customFormat="1" ht="17.5" customHeight="1" x14ac:dyDescent="0.35">
      <c r="A151" s="241"/>
      <c r="B151" s="244"/>
      <c r="C151" s="318"/>
      <c r="D151" s="245"/>
      <c r="E151" s="258" t="s">
        <v>60</v>
      </c>
      <c r="F151" s="259"/>
      <c r="G151" s="92"/>
      <c r="H151" s="141">
        <f>SUM(H150)</f>
        <v>1</v>
      </c>
      <c r="I151" s="94">
        <f>SUM(I150)</f>
        <v>4</v>
      </c>
      <c r="J151" s="326"/>
      <c r="K151" s="327"/>
      <c r="L151" s="95">
        <f>SUM(L150)</f>
        <v>4</v>
      </c>
      <c r="M151" s="328"/>
      <c r="N151" s="328"/>
      <c r="O151" s="153"/>
      <c r="P151" s="198"/>
      <c r="Q151" s="68"/>
      <c r="R151" s="68"/>
      <c r="S151" s="68"/>
      <c r="T151" s="68"/>
      <c r="U151" s="209"/>
      <c r="V151" s="199"/>
      <c r="W151" s="200"/>
      <c r="X151" s="201"/>
      <c r="Y151" s="202"/>
      <c r="Z151" s="203"/>
      <c r="AA151" s="203"/>
      <c r="AB151" s="200"/>
      <c r="AC151" s="201"/>
      <c r="AD151" s="201"/>
      <c r="AE151" s="204"/>
      <c r="AF151" s="203"/>
      <c r="AG151" s="200"/>
      <c r="AH151" s="201"/>
      <c r="AI151" s="202"/>
      <c r="AJ151" s="203"/>
      <c r="AK151" s="203"/>
      <c r="AL151" s="200"/>
      <c r="AM151" s="201"/>
      <c r="AN151" s="202"/>
      <c r="AO151" s="203"/>
      <c r="AP151" s="203"/>
      <c r="AQ151" s="200"/>
      <c r="AR151" s="201"/>
      <c r="AS151" s="202"/>
      <c r="AT151" s="203"/>
      <c r="AU151" s="203"/>
      <c r="AV151" s="200"/>
      <c r="AW151" s="201"/>
      <c r="AX151" s="202"/>
      <c r="AY151" s="203"/>
      <c r="AZ151" s="203"/>
      <c r="BA151" s="204"/>
      <c r="BB151" s="224"/>
      <c r="BC151" s="203"/>
      <c r="BD151" s="228">
        <f>BD150</f>
        <v>4</v>
      </c>
      <c r="BE151" s="202"/>
    </row>
    <row r="152" spans="1:57" s="31" customFormat="1" ht="17.5" customHeight="1" thickBot="1" x14ac:dyDescent="0.4">
      <c r="A152" s="100"/>
      <c r="B152" s="101"/>
      <c r="C152" s="102"/>
      <c r="D152" s="102"/>
      <c r="E152" s="101"/>
      <c r="F152" s="101"/>
      <c r="G152" s="101"/>
      <c r="H152" s="101"/>
      <c r="I152" s="101"/>
      <c r="J152" s="102"/>
      <c r="K152" s="103"/>
      <c r="L152" s="104"/>
      <c r="M152" s="105"/>
      <c r="N152" s="105"/>
      <c r="O152" s="99"/>
      <c r="P152" s="198"/>
      <c r="Q152" s="68"/>
      <c r="R152" s="68"/>
      <c r="S152" s="68"/>
      <c r="T152" s="68"/>
      <c r="U152" s="209"/>
      <c r="V152" s="199"/>
      <c r="W152" s="200"/>
      <c r="X152" s="201"/>
      <c r="Y152" s="202"/>
      <c r="Z152" s="203"/>
      <c r="AA152" s="203"/>
      <c r="AB152" s="200"/>
      <c r="AC152" s="201"/>
      <c r="AD152" s="201"/>
      <c r="AE152" s="204"/>
      <c r="AF152" s="203"/>
      <c r="AG152" s="200"/>
      <c r="AH152" s="201"/>
      <c r="AI152" s="202"/>
      <c r="AJ152" s="203"/>
      <c r="AK152" s="203"/>
      <c r="AL152" s="200"/>
      <c r="AM152" s="201"/>
      <c r="AN152" s="202"/>
      <c r="AO152" s="203"/>
      <c r="AP152" s="203"/>
      <c r="AQ152" s="200"/>
      <c r="AR152" s="201"/>
      <c r="AS152" s="202"/>
      <c r="AT152" s="203"/>
      <c r="AU152" s="203"/>
      <c r="AV152" s="200"/>
      <c r="AW152" s="201"/>
      <c r="AX152" s="202"/>
      <c r="AY152" s="203"/>
      <c r="AZ152" s="203"/>
      <c r="BA152" s="204"/>
      <c r="BB152" s="223"/>
      <c r="BC152" s="194"/>
      <c r="BD152" s="208"/>
      <c r="BE152" s="202"/>
    </row>
    <row r="153" spans="1:57" s="31" customFormat="1" ht="17.5" customHeight="1" thickBot="1" x14ac:dyDescent="0.4">
      <c r="A153" s="241">
        <v>8</v>
      </c>
      <c r="B153" s="242" t="s">
        <v>36</v>
      </c>
      <c r="C153" s="318" t="s">
        <v>184</v>
      </c>
      <c r="D153" s="241" t="s">
        <v>185</v>
      </c>
      <c r="E153" s="51" t="s">
        <v>114</v>
      </c>
      <c r="F153" s="51" t="s">
        <v>108</v>
      </c>
      <c r="G153" s="51">
        <v>8</v>
      </c>
      <c r="H153" s="51">
        <v>1</v>
      </c>
      <c r="I153" s="108">
        <f xml:space="preserve"> SUM(G153*H153)</f>
        <v>8</v>
      </c>
      <c r="J153" s="295">
        <f xml:space="preserve"> I156/8</f>
        <v>3</v>
      </c>
      <c r="K153" s="287" t="s">
        <v>41</v>
      </c>
      <c r="L153" s="54">
        <v>7</v>
      </c>
      <c r="M153" s="288">
        <f>L156/8</f>
        <v>2.625</v>
      </c>
      <c r="N153" s="319">
        <f>SUM(BD153:BD155)/8</f>
        <v>2.625</v>
      </c>
      <c r="O153" s="109">
        <v>1</v>
      </c>
      <c r="P153" s="163" t="s">
        <v>186</v>
      </c>
      <c r="Q153" s="111">
        <v>0.29166666666666669</v>
      </c>
      <c r="R153" s="111">
        <v>0.79166666666666663</v>
      </c>
      <c r="S153" s="111"/>
      <c r="T153" s="111"/>
      <c r="U153" s="118"/>
      <c r="V153" s="132" t="s">
        <v>105</v>
      </c>
      <c r="W153" s="112"/>
      <c r="X153" s="121"/>
      <c r="Y153" s="122"/>
      <c r="Z153" s="113">
        <f t="shared" ref="Z153:Z155" si="191">(Y153-X153)*24</f>
        <v>0</v>
      </c>
      <c r="AA153" s="81">
        <f t="shared" ref="AA153:AA155" si="192">IF(Z153&gt;=6, (Z153-1), IF(Z153&lt;6, Z153))</f>
        <v>0</v>
      </c>
      <c r="AB153" s="112"/>
      <c r="AC153" s="121"/>
      <c r="AD153" s="121"/>
      <c r="AE153" s="123">
        <f t="shared" ref="AE153:AE155" si="193">(AD153-AC153)*24</f>
        <v>0</v>
      </c>
      <c r="AF153" s="81">
        <f t="shared" ref="AF153:AF155" si="194">IF(AE153&gt;=6, (AE153-1), IF(AE153&lt;6, AE153))</f>
        <v>0</v>
      </c>
      <c r="AG153" s="112"/>
      <c r="AH153" s="121"/>
      <c r="AI153" s="122"/>
      <c r="AJ153" s="113">
        <f t="shared" ref="AJ153:AJ155" si="195">(AI153-AH153)*24</f>
        <v>0</v>
      </c>
      <c r="AK153" s="81">
        <f t="shared" ref="AK153:AK155" si="196">IF(AJ153&gt;=6, (AJ153-1), IF(AJ153&lt;6, AJ153))</f>
        <v>0</v>
      </c>
      <c r="AL153" s="112"/>
      <c r="AM153" s="121"/>
      <c r="AN153" s="122"/>
      <c r="AO153" s="113">
        <f t="shared" ref="AO153:AO155" si="197">(AN153-AM153)*24</f>
        <v>0</v>
      </c>
      <c r="AP153" s="81">
        <f t="shared" ref="AP153:AP155" si="198">IF(AO153&gt;=6, (AO153-1), IF(AO153&lt;6, AO153))</f>
        <v>0</v>
      </c>
      <c r="AQ153" s="112"/>
      <c r="AR153" s="121"/>
      <c r="AS153" s="122"/>
      <c r="AT153" s="113">
        <f t="shared" ref="AT153:AT155" si="199">(AS153-AR153)*24</f>
        <v>0</v>
      </c>
      <c r="AU153" s="81">
        <f t="shared" ref="AU153:AU155" si="200">IF(AT153&gt;=6, (AT153-1), IF(AT153&lt;6, AT153))</f>
        <v>0</v>
      </c>
      <c r="AV153" s="112"/>
      <c r="AW153" s="121"/>
      <c r="AX153" s="122"/>
      <c r="AY153" s="113">
        <f t="shared" ref="AY153:AY155" si="201">(AX153-AW153)*24</f>
        <v>0</v>
      </c>
      <c r="AZ153" s="81">
        <f t="shared" ref="AZ153:AZ155" si="202">IF(AY153&gt;=6, (AY153-1), IF(AY153&lt;6, AY153))</f>
        <v>0</v>
      </c>
      <c r="BA153" s="123"/>
      <c r="BB153" s="79">
        <f t="shared" ref="BB153:BB157" si="203">AA153+AF153+AK153+AP153+AU153+AZ153</f>
        <v>0</v>
      </c>
      <c r="BC153" s="115">
        <f>IF(BB153&gt;0, BB153, IF(BB153=0, L153))</f>
        <v>7</v>
      </c>
      <c r="BD153" s="81">
        <f>IF(BA153=1, (BC153-L153), IF(BA153=0, BC153))</f>
        <v>7</v>
      </c>
      <c r="BE153" s="122"/>
    </row>
    <row r="154" spans="1:57" s="31" customFormat="1" ht="17.5" customHeight="1" thickBot="1" x14ac:dyDescent="0.4">
      <c r="A154" s="241"/>
      <c r="B154" s="243"/>
      <c r="C154" s="318"/>
      <c r="D154" s="241"/>
      <c r="E154" s="51" t="s">
        <v>71</v>
      </c>
      <c r="F154" s="51" t="s">
        <v>58</v>
      </c>
      <c r="G154" s="51">
        <v>8</v>
      </c>
      <c r="H154" s="51">
        <v>1</v>
      </c>
      <c r="I154" s="108">
        <f xml:space="preserve"> SUM(G154*H154)</f>
        <v>8</v>
      </c>
      <c r="J154" s="295"/>
      <c r="K154" s="287"/>
      <c r="L154" s="54">
        <v>7</v>
      </c>
      <c r="M154" s="288"/>
      <c r="N154" s="319"/>
      <c r="O154" s="109">
        <v>1</v>
      </c>
      <c r="P154" s="163" t="s">
        <v>187</v>
      </c>
      <c r="Q154" s="111">
        <v>0.33333333333333331</v>
      </c>
      <c r="R154" s="111">
        <v>0.83333333333333337</v>
      </c>
      <c r="S154" s="111"/>
      <c r="T154" s="111"/>
      <c r="U154" s="118"/>
      <c r="V154" s="132" t="s">
        <v>188</v>
      </c>
      <c r="W154" s="112"/>
      <c r="X154" s="121"/>
      <c r="Y154" s="122"/>
      <c r="Z154" s="113">
        <f t="shared" si="191"/>
        <v>0</v>
      </c>
      <c r="AA154" s="81">
        <f t="shared" si="192"/>
        <v>0</v>
      </c>
      <c r="AB154" s="112"/>
      <c r="AC154" s="121"/>
      <c r="AD154" s="121"/>
      <c r="AE154" s="123">
        <f t="shared" si="193"/>
        <v>0</v>
      </c>
      <c r="AF154" s="81">
        <f t="shared" si="194"/>
        <v>0</v>
      </c>
      <c r="AG154" s="112"/>
      <c r="AH154" s="121"/>
      <c r="AI154" s="122"/>
      <c r="AJ154" s="113">
        <f t="shared" si="195"/>
        <v>0</v>
      </c>
      <c r="AK154" s="81">
        <f t="shared" si="196"/>
        <v>0</v>
      </c>
      <c r="AL154" s="112"/>
      <c r="AM154" s="121"/>
      <c r="AN154" s="122"/>
      <c r="AO154" s="113">
        <f t="shared" si="197"/>
        <v>0</v>
      </c>
      <c r="AP154" s="81">
        <f t="shared" si="198"/>
        <v>0</v>
      </c>
      <c r="AQ154" s="112"/>
      <c r="AR154" s="121"/>
      <c r="AS154" s="122"/>
      <c r="AT154" s="113">
        <f t="shared" si="199"/>
        <v>0</v>
      </c>
      <c r="AU154" s="81">
        <f t="shared" si="200"/>
        <v>0</v>
      </c>
      <c r="AV154" s="112"/>
      <c r="AW154" s="121"/>
      <c r="AX154" s="122"/>
      <c r="AY154" s="113">
        <f t="shared" si="201"/>
        <v>0</v>
      </c>
      <c r="AZ154" s="81">
        <f t="shared" si="202"/>
        <v>0</v>
      </c>
      <c r="BA154" s="78"/>
      <c r="BB154" s="79">
        <f t="shared" si="203"/>
        <v>0</v>
      </c>
      <c r="BC154" s="115">
        <f>IF(BB154&gt;0, BB154, IF(BB154=0, L154))</f>
        <v>7</v>
      </c>
      <c r="BD154" s="81">
        <f>IF(BA154=1, (BC154-L154), IF(BA154=0, BC154))</f>
        <v>7</v>
      </c>
      <c r="BE154" s="122"/>
    </row>
    <row r="155" spans="1:57" s="31" customFormat="1" ht="17.5" customHeight="1" thickBot="1" x14ac:dyDescent="0.4">
      <c r="A155" s="241"/>
      <c r="B155" s="243"/>
      <c r="C155" s="318"/>
      <c r="D155" s="241"/>
      <c r="E155" s="51" t="s">
        <v>81</v>
      </c>
      <c r="F155" s="51" t="s">
        <v>53</v>
      </c>
      <c r="G155" s="51">
        <v>8</v>
      </c>
      <c r="H155" s="51">
        <v>1</v>
      </c>
      <c r="I155" s="108">
        <f xml:space="preserve"> SUM(G155*H155)</f>
        <v>8</v>
      </c>
      <c r="J155" s="295"/>
      <c r="K155" s="287"/>
      <c r="L155" s="54">
        <v>7</v>
      </c>
      <c r="M155" s="288"/>
      <c r="N155" s="319"/>
      <c r="O155" s="109">
        <v>1</v>
      </c>
      <c r="P155" s="120" t="s">
        <v>189</v>
      </c>
      <c r="Q155" s="111">
        <v>0.33333333333333331</v>
      </c>
      <c r="R155" s="111">
        <v>0.83333333333333337</v>
      </c>
      <c r="S155" s="111"/>
      <c r="T155" s="111"/>
      <c r="U155" s="118"/>
      <c r="V155" s="132" t="s">
        <v>134</v>
      </c>
      <c r="W155" s="112"/>
      <c r="X155" s="121"/>
      <c r="Y155" s="122"/>
      <c r="Z155" s="113">
        <f t="shared" si="191"/>
        <v>0</v>
      </c>
      <c r="AA155" s="81">
        <f t="shared" si="192"/>
        <v>0</v>
      </c>
      <c r="AB155" s="112"/>
      <c r="AC155" s="121"/>
      <c r="AD155" s="121"/>
      <c r="AE155" s="123">
        <f t="shared" si="193"/>
        <v>0</v>
      </c>
      <c r="AF155" s="81">
        <f t="shared" si="194"/>
        <v>0</v>
      </c>
      <c r="AG155" s="112"/>
      <c r="AH155" s="121"/>
      <c r="AI155" s="122"/>
      <c r="AJ155" s="113">
        <f t="shared" si="195"/>
        <v>0</v>
      </c>
      <c r="AK155" s="81">
        <f t="shared" si="196"/>
        <v>0</v>
      </c>
      <c r="AL155" s="112"/>
      <c r="AM155" s="121"/>
      <c r="AN155" s="122"/>
      <c r="AO155" s="113">
        <f t="shared" si="197"/>
        <v>0</v>
      </c>
      <c r="AP155" s="81">
        <f t="shared" si="198"/>
        <v>0</v>
      </c>
      <c r="AQ155" s="112"/>
      <c r="AR155" s="121"/>
      <c r="AS155" s="122"/>
      <c r="AT155" s="113">
        <f t="shared" si="199"/>
        <v>0</v>
      </c>
      <c r="AU155" s="81">
        <f t="shared" si="200"/>
        <v>0</v>
      </c>
      <c r="AV155" s="112"/>
      <c r="AW155" s="121"/>
      <c r="AX155" s="122"/>
      <c r="AY155" s="113">
        <f t="shared" si="201"/>
        <v>0</v>
      </c>
      <c r="AZ155" s="81">
        <f t="shared" si="202"/>
        <v>0</v>
      </c>
      <c r="BA155" s="123"/>
      <c r="BB155" s="79">
        <f t="shared" si="203"/>
        <v>0</v>
      </c>
      <c r="BC155" s="115">
        <f>IF(BB155&gt;0, BB155, IF(BB155=0, L155))</f>
        <v>7</v>
      </c>
      <c r="BD155" s="81">
        <f>IF(BA155=1, (BC155-L155), IF(BA155=0, BC155))</f>
        <v>7</v>
      </c>
      <c r="BE155" s="122"/>
    </row>
    <row r="156" spans="1:57" s="31" customFormat="1" ht="17.5" customHeight="1" thickBot="1" x14ac:dyDescent="0.4">
      <c r="A156" s="241"/>
      <c r="B156" s="243"/>
      <c r="C156" s="318"/>
      <c r="D156" s="241"/>
      <c r="E156" s="258" t="s">
        <v>56</v>
      </c>
      <c r="F156" s="259"/>
      <c r="G156" s="92"/>
      <c r="H156" s="141">
        <f xml:space="preserve"> SUM(H153:H155)</f>
        <v>3</v>
      </c>
      <c r="I156" s="94">
        <f>SUM(I153:I155)</f>
        <v>24</v>
      </c>
      <c r="J156" s="295"/>
      <c r="K156" s="287"/>
      <c r="L156" s="95">
        <f>SUM(L153:L155)</f>
        <v>21</v>
      </c>
      <c r="M156" s="288"/>
      <c r="N156" s="319"/>
      <c r="O156" s="99"/>
      <c r="P156" s="198"/>
      <c r="Q156" s="68"/>
      <c r="R156" s="68"/>
      <c r="S156" s="68"/>
      <c r="T156" s="68"/>
      <c r="U156" s="209"/>
      <c r="V156" s="199"/>
      <c r="W156" s="200"/>
      <c r="X156" s="201"/>
      <c r="Y156" s="202"/>
      <c r="Z156" s="203"/>
      <c r="AA156" s="203"/>
      <c r="AB156" s="200"/>
      <c r="AC156" s="201"/>
      <c r="AD156" s="201"/>
      <c r="AE156" s="204"/>
      <c r="AF156" s="203"/>
      <c r="AG156" s="200"/>
      <c r="AH156" s="201"/>
      <c r="AI156" s="202"/>
      <c r="AJ156" s="203"/>
      <c r="AK156" s="203"/>
      <c r="AL156" s="200"/>
      <c r="AM156" s="201"/>
      <c r="AN156" s="202"/>
      <c r="AO156" s="203"/>
      <c r="AP156" s="203"/>
      <c r="AQ156" s="200"/>
      <c r="AR156" s="201"/>
      <c r="AS156" s="202"/>
      <c r="AT156" s="203"/>
      <c r="AU156" s="203"/>
      <c r="AV156" s="200"/>
      <c r="AW156" s="201"/>
      <c r="AX156" s="202"/>
      <c r="AY156" s="203"/>
      <c r="AZ156" s="203"/>
      <c r="BA156" s="206"/>
      <c r="BB156" s="223"/>
      <c r="BC156" s="197"/>
      <c r="BD156" s="228">
        <f>SUM(BD153:BD155)</f>
        <v>21</v>
      </c>
      <c r="BE156" s="202"/>
    </row>
    <row r="157" spans="1:57" s="31" customFormat="1" ht="17.5" customHeight="1" thickBot="1" x14ac:dyDescent="0.4">
      <c r="A157" s="241"/>
      <c r="B157" s="243"/>
      <c r="C157" s="318"/>
      <c r="D157" s="241"/>
      <c r="E157" s="51" t="s">
        <v>39</v>
      </c>
      <c r="F157" s="51" t="s">
        <v>52</v>
      </c>
      <c r="G157" s="51">
        <v>5</v>
      </c>
      <c r="H157" s="51">
        <v>1</v>
      </c>
      <c r="I157" s="108">
        <f xml:space="preserve"> SUM(G157*H157)</f>
        <v>5</v>
      </c>
      <c r="J157" s="326">
        <f xml:space="preserve"> I158/8</f>
        <v>0.625</v>
      </c>
      <c r="K157" s="327" t="s">
        <v>57</v>
      </c>
      <c r="L157" s="162">
        <v>5</v>
      </c>
      <c r="M157" s="328">
        <f>L157/8</f>
        <v>0.625</v>
      </c>
      <c r="N157" s="330">
        <f>BD157/8</f>
        <v>0.625</v>
      </c>
      <c r="O157" s="109">
        <v>1</v>
      </c>
      <c r="P157" s="163" t="s">
        <v>186</v>
      </c>
      <c r="Q157" s="111">
        <v>0.29166666666666669</v>
      </c>
      <c r="R157" s="111">
        <v>0.79166666666666663</v>
      </c>
      <c r="S157" s="111"/>
      <c r="T157" s="111"/>
      <c r="U157" s="118"/>
      <c r="V157" s="132" t="s">
        <v>105</v>
      </c>
      <c r="W157" s="112"/>
      <c r="X157" s="121"/>
      <c r="Y157" s="122"/>
      <c r="Z157" s="113">
        <f t="shared" ref="Z157" si="204">(Y157-X157)*24</f>
        <v>0</v>
      </c>
      <c r="AA157" s="81">
        <f t="shared" ref="AA157" si="205">IF(Z157&gt;=6, (Z157-1), IF(Z157&lt;6, Z157))</f>
        <v>0</v>
      </c>
      <c r="AB157" s="112"/>
      <c r="AC157" s="121"/>
      <c r="AD157" s="121"/>
      <c r="AE157" s="123">
        <f t="shared" ref="AE157" si="206">(AD157-AC157)*24</f>
        <v>0</v>
      </c>
      <c r="AF157" s="81">
        <f t="shared" ref="AF157" si="207">IF(AE157&gt;=6, (AE157-1), IF(AE157&lt;6, AE157))</f>
        <v>0</v>
      </c>
      <c r="AG157" s="112"/>
      <c r="AH157" s="121"/>
      <c r="AI157" s="122"/>
      <c r="AJ157" s="113">
        <f t="shared" ref="AJ157" si="208">(AI157-AH157)*24</f>
        <v>0</v>
      </c>
      <c r="AK157" s="81">
        <f t="shared" ref="AK157" si="209">IF(AJ157&gt;=6, (AJ157-1), IF(AJ157&lt;6, AJ157))</f>
        <v>0</v>
      </c>
      <c r="AL157" s="112"/>
      <c r="AM157" s="121"/>
      <c r="AN157" s="122"/>
      <c r="AO157" s="113">
        <f t="shared" ref="AO157" si="210">(AN157-AM157)*24</f>
        <v>0</v>
      </c>
      <c r="AP157" s="81">
        <f t="shared" ref="AP157" si="211">IF(AO157&gt;=6, (AO157-1), IF(AO157&lt;6, AO157))</f>
        <v>0</v>
      </c>
      <c r="AQ157" s="112"/>
      <c r="AR157" s="121"/>
      <c r="AS157" s="122"/>
      <c r="AT157" s="113">
        <f t="shared" ref="AT157" si="212">(AS157-AR157)*24</f>
        <v>0</v>
      </c>
      <c r="AU157" s="81">
        <f t="shared" ref="AU157" si="213">IF(AT157&gt;=6, (AT157-1), IF(AT157&lt;6, AT157))</f>
        <v>0</v>
      </c>
      <c r="AV157" s="112"/>
      <c r="AW157" s="121"/>
      <c r="AX157" s="122"/>
      <c r="AY157" s="113">
        <f t="shared" ref="AY157" si="214">(AX157-AW157)*24</f>
        <v>0</v>
      </c>
      <c r="AZ157" s="81">
        <f t="shared" ref="AZ157" si="215">IF(AY157&gt;=6, (AY157-1), IF(AY157&lt;6, AY157))</f>
        <v>0</v>
      </c>
      <c r="BA157" s="78"/>
      <c r="BB157" s="79">
        <f t="shared" si="203"/>
        <v>0</v>
      </c>
      <c r="BC157" s="115">
        <f>IF(BB157&gt;0, BB157, IF(BB157=0, L157))</f>
        <v>5</v>
      </c>
      <c r="BD157" s="81">
        <f>IF(BA157=1, (BC157-L157), IF(BA157=0, BC157))</f>
        <v>5</v>
      </c>
      <c r="BE157" s="122"/>
    </row>
    <row r="158" spans="1:57" s="31" customFormat="1" ht="17.5" customHeight="1" x14ac:dyDescent="0.35">
      <c r="A158" s="241"/>
      <c r="B158" s="244"/>
      <c r="C158" s="318"/>
      <c r="D158" s="241"/>
      <c r="E158" s="258" t="s">
        <v>60</v>
      </c>
      <c r="F158" s="259"/>
      <c r="G158" s="92"/>
      <c r="H158" s="141">
        <f xml:space="preserve"> H157</f>
        <v>1</v>
      </c>
      <c r="I158" s="94">
        <f>SUM(I157)</f>
        <v>5</v>
      </c>
      <c r="J158" s="326"/>
      <c r="K158" s="327"/>
      <c r="L158" s="95">
        <f>SUM(L157)</f>
        <v>5</v>
      </c>
      <c r="M158" s="328"/>
      <c r="N158" s="330"/>
      <c r="O158" s="99"/>
      <c r="P158" s="198"/>
      <c r="Q158" s="68"/>
      <c r="R158" s="68"/>
      <c r="S158" s="68"/>
      <c r="T158" s="68"/>
      <c r="U158" s="209"/>
      <c r="V158" s="199"/>
      <c r="W158" s="200"/>
      <c r="X158" s="201"/>
      <c r="Y158" s="202"/>
      <c r="Z158" s="203"/>
      <c r="AA158" s="203"/>
      <c r="AB158" s="200"/>
      <c r="AC158" s="201"/>
      <c r="AD158" s="201"/>
      <c r="AE158" s="204"/>
      <c r="AF158" s="203"/>
      <c r="AG158" s="200"/>
      <c r="AH158" s="201"/>
      <c r="AI158" s="202"/>
      <c r="AJ158" s="203"/>
      <c r="AK158" s="203"/>
      <c r="AL158" s="200"/>
      <c r="AM158" s="201"/>
      <c r="AN158" s="202"/>
      <c r="AO158" s="203"/>
      <c r="AP158" s="203"/>
      <c r="AQ158" s="200"/>
      <c r="AR158" s="201"/>
      <c r="AS158" s="202"/>
      <c r="AT158" s="203"/>
      <c r="AU158" s="203"/>
      <c r="AV158" s="200"/>
      <c r="AW158" s="201"/>
      <c r="AX158" s="202"/>
      <c r="AY158" s="203"/>
      <c r="AZ158" s="203"/>
      <c r="BA158" s="204"/>
      <c r="BB158" s="224"/>
      <c r="BC158" s="214"/>
      <c r="BD158" s="228">
        <f>BD157</f>
        <v>5</v>
      </c>
      <c r="BE158" s="202"/>
    </row>
    <row r="159" spans="1:57" s="31" customFormat="1" ht="17.5" customHeight="1" thickBot="1" x14ac:dyDescent="0.4">
      <c r="A159" s="164"/>
      <c r="B159" s="101"/>
      <c r="C159" s="102"/>
      <c r="D159" s="102"/>
      <c r="E159" s="101"/>
      <c r="F159" s="101"/>
      <c r="G159" s="101"/>
      <c r="H159" s="101"/>
      <c r="I159" s="101"/>
      <c r="J159" s="102"/>
      <c r="K159" s="165"/>
      <c r="L159" s="104"/>
      <c r="M159" s="105"/>
      <c r="N159" s="105"/>
      <c r="O159" s="99"/>
      <c r="P159" s="198"/>
      <c r="Q159" s="68"/>
      <c r="R159" s="68"/>
      <c r="S159" s="68"/>
      <c r="T159" s="68"/>
      <c r="U159" s="209"/>
      <c r="V159" s="199"/>
      <c r="W159" s="200"/>
      <c r="X159" s="201"/>
      <c r="Y159" s="202"/>
      <c r="Z159" s="203"/>
      <c r="AA159" s="203"/>
      <c r="AB159" s="200"/>
      <c r="AC159" s="201"/>
      <c r="AD159" s="201"/>
      <c r="AE159" s="204"/>
      <c r="AF159" s="203"/>
      <c r="AG159" s="200"/>
      <c r="AH159" s="201"/>
      <c r="AI159" s="202"/>
      <c r="AJ159" s="203"/>
      <c r="AK159" s="203"/>
      <c r="AL159" s="200"/>
      <c r="AM159" s="201"/>
      <c r="AN159" s="202"/>
      <c r="AO159" s="203"/>
      <c r="AP159" s="203"/>
      <c r="AQ159" s="200"/>
      <c r="AR159" s="201"/>
      <c r="AS159" s="202"/>
      <c r="AT159" s="203"/>
      <c r="AU159" s="203"/>
      <c r="AV159" s="200"/>
      <c r="AW159" s="201"/>
      <c r="AX159" s="202"/>
      <c r="AY159" s="203"/>
      <c r="AZ159" s="203"/>
      <c r="BA159" s="206"/>
      <c r="BB159" s="223"/>
      <c r="BC159" s="194"/>
      <c r="BD159" s="208"/>
      <c r="BE159" s="202"/>
    </row>
    <row r="160" spans="1:57" s="31" customFormat="1" ht="17.5" customHeight="1" thickBot="1" x14ac:dyDescent="0.4">
      <c r="A160" s="331">
        <v>9</v>
      </c>
      <c r="B160" s="101"/>
      <c r="C160" s="332" t="s">
        <v>190</v>
      </c>
      <c r="D160" s="102"/>
      <c r="E160" s="166" t="s">
        <v>191</v>
      </c>
      <c r="F160" s="138" t="s">
        <v>71</v>
      </c>
      <c r="G160" s="138">
        <v>1.5</v>
      </c>
      <c r="H160" s="138">
        <v>1</v>
      </c>
      <c r="I160" s="139">
        <f xml:space="preserve"> SUM(G160*H160)</f>
        <v>1.5</v>
      </c>
      <c r="J160" s="335">
        <f>I163/8</f>
        <v>2.1875</v>
      </c>
      <c r="K160" s="309" t="s">
        <v>41</v>
      </c>
      <c r="L160" s="54">
        <v>1.5</v>
      </c>
      <c r="M160" s="288">
        <f>L163/8</f>
        <v>1.9375</v>
      </c>
      <c r="N160" s="267">
        <f>SUM(BD160:BD162)/8</f>
        <v>1.9375</v>
      </c>
      <c r="O160" s="151">
        <v>1</v>
      </c>
      <c r="P160" s="120" t="s">
        <v>192</v>
      </c>
      <c r="Q160" s="111">
        <v>0.29166666666666669</v>
      </c>
      <c r="R160" s="111">
        <v>0.70833333333333337</v>
      </c>
      <c r="S160" s="111"/>
      <c r="T160" s="111"/>
      <c r="U160" s="118"/>
      <c r="V160" s="132" t="s">
        <v>193</v>
      </c>
      <c r="W160" s="112"/>
      <c r="X160" s="121"/>
      <c r="Y160" s="122"/>
      <c r="Z160" s="113">
        <f t="shared" ref="Z160:Z162" si="216">(Y160-X160)*24</f>
        <v>0</v>
      </c>
      <c r="AA160" s="81">
        <f t="shared" ref="AA160:AA162" si="217">IF(Z160&gt;=6, (Z160-1), IF(Z160&lt;6, Z160))</f>
        <v>0</v>
      </c>
      <c r="AB160" s="112"/>
      <c r="AC160" s="121"/>
      <c r="AD160" s="121"/>
      <c r="AE160" s="123">
        <f t="shared" ref="AE160:AE162" si="218">(AD160-AC160)*24</f>
        <v>0</v>
      </c>
      <c r="AF160" s="81">
        <f t="shared" ref="AF160:AF162" si="219">IF(AE160&gt;=6, (AE160-1), IF(AE160&lt;6, AE160))</f>
        <v>0</v>
      </c>
      <c r="AG160" s="112"/>
      <c r="AH160" s="121"/>
      <c r="AI160" s="122"/>
      <c r="AJ160" s="113">
        <f t="shared" ref="AJ160:AJ162" si="220">(AI160-AH160)*24</f>
        <v>0</v>
      </c>
      <c r="AK160" s="81">
        <f t="shared" ref="AK160:AK162" si="221">IF(AJ160&gt;=6, (AJ160-1), IF(AJ160&lt;6, AJ160))</f>
        <v>0</v>
      </c>
      <c r="AL160" s="112"/>
      <c r="AM160" s="121"/>
      <c r="AN160" s="122"/>
      <c r="AO160" s="113">
        <f t="shared" ref="AO160:AO162" si="222">(AN160-AM160)*24</f>
        <v>0</v>
      </c>
      <c r="AP160" s="81">
        <f t="shared" ref="AP160:AP162" si="223">IF(AO160&gt;=6, (AO160-1), IF(AO160&lt;6, AO160))</f>
        <v>0</v>
      </c>
      <c r="AQ160" s="112"/>
      <c r="AR160" s="121"/>
      <c r="AS160" s="122"/>
      <c r="AT160" s="113">
        <f t="shared" ref="AT160:AT162" si="224">(AS160-AR160)*24</f>
        <v>0</v>
      </c>
      <c r="AU160" s="81">
        <f t="shared" ref="AU160:AU162" si="225">IF(AT160&gt;=6, (AT160-1), IF(AT160&lt;6, AT160))</f>
        <v>0</v>
      </c>
      <c r="AV160" s="112"/>
      <c r="AW160" s="121"/>
      <c r="AX160" s="122"/>
      <c r="AY160" s="113">
        <f t="shared" ref="AY160:AY162" si="226">(AX160-AW160)*24</f>
        <v>0</v>
      </c>
      <c r="AZ160" s="81">
        <f t="shared" ref="AZ160:AZ162" si="227">IF(AY160&gt;=6, (AY160-1), IF(AY160&lt;6, AY160))</f>
        <v>0</v>
      </c>
      <c r="BA160" s="78"/>
      <c r="BB160" s="79">
        <f t="shared" ref="BB160:BB162" si="228">AA160+AF160+AK160+AP160+AU160+AZ160</f>
        <v>0</v>
      </c>
      <c r="BC160" s="115">
        <f>IF(BB160&gt;0, BB160, IF(BB160=0, L160))</f>
        <v>1.5</v>
      </c>
      <c r="BD160" s="81">
        <f>IF(BA160=1, (BC160-L160), IF(BA160=0, BC160))</f>
        <v>1.5</v>
      </c>
      <c r="BE160" s="122"/>
    </row>
    <row r="161" spans="1:57" s="31" customFormat="1" ht="17.5" customHeight="1" thickBot="1" x14ac:dyDescent="0.4">
      <c r="A161" s="331"/>
      <c r="B161" s="338" t="s">
        <v>36</v>
      </c>
      <c r="C161" s="333"/>
      <c r="D161" s="241" t="s">
        <v>38</v>
      </c>
      <c r="E161" s="152" t="s">
        <v>71</v>
      </c>
      <c r="F161" s="51" t="s">
        <v>58</v>
      </c>
      <c r="G161" s="51">
        <v>8</v>
      </c>
      <c r="H161" s="51">
        <v>1</v>
      </c>
      <c r="I161" s="108">
        <f xml:space="preserve"> SUM(G161*H161)</f>
        <v>8</v>
      </c>
      <c r="J161" s="336"/>
      <c r="K161" s="309"/>
      <c r="L161" s="54">
        <v>7</v>
      </c>
      <c r="M161" s="288"/>
      <c r="N161" s="268"/>
      <c r="O161" s="151">
        <v>1</v>
      </c>
      <c r="P161" s="120" t="s">
        <v>192</v>
      </c>
      <c r="Q161" s="111">
        <v>0.29166666666666669</v>
      </c>
      <c r="R161" s="111">
        <v>0.70833333333333337</v>
      </c>
      <c r="S161" s="111"/>
      <c r="T161" s="111"/>
      <c r="U161" s="118"/>
      <c r="V161" s="132" t="s">
        <v>193</v>
      </c>
      <c r="W161" s="112"/>
      <c r="X161" s="121"/>
      <c r="Y161" s="122"/>
      <c r="Z161" s="113">
        <f t="shared" si="216"/>
        <v>0</v>
      </c>
      <c r="AA161" s="81">
        <f t="shared" si="217"/>
        <v>0</v>
      </c>
      <c r="AB161" s="112"/>
      <c r="AC161" s="121"/>
      <c r="AD161" s="121"/>
      <c r="AE161" s="123">
        <f t="shared" si="218"/>
        <v>0</v>
      </c>
      <c r="AF161" s="81">
        <f t="shared" si="219"/>
        <v>0</v>
      </c>
      <c r="AG161" s="112"/>
      <c r="AH161" s="121"/>
      <c r="AI161" s="122"/>
      <c r="AJ161" s="113">
        <f t="shared" si="220"/>
        <v>0</v>
      </c>
      <c r="AK161" s="81">
        <f t="shared" si="221"/>
        <v>0</v>
      </c>
      <c r="AL161" s="112"/>
      <c r="AM161" s="121"/>
      <c r="AN161" s="122"/>
      <c r="AO161" s="113">
        <f t="shared" si="222"/>
        <v>0</v>
      </c>
      <c r="AP161" s="81">
        <f t="shared" si="223"/>
        <v>0</v>
      </c>
      <c r="AQ161" s="112"/>
      <c r="AR161" s="121"/>
      <c r="AS161" s="122"/>
      <c r="AT161" s="113">
        <f t="shared" si="224"/>
        <v>0</v>
      </c>
      <c r="AU161" s="81">
        <f t="shared" si="225"/>
        <v>0</v>
      </c>
      <c r="AV161" s="112"/>
      <c r="AW161" s="121"/>
      <c r="AX161" s="122"/>
      <c r="AY161" s="113">
        <f t="shared" si="226"/>
        <v>0</v>
      </c>
      <c r="AZ161" s="81">
        <f t="shared" si="227"/>
        <v>0</v>
      </c>
      <c r="BA161" s="78"/>
      <c r="BB161" s="79">
        <f t="shared" si="228"/>
        <v>0</v>
      </c>
      <c r="BC161" s="115">
        <f>IF(BB161&gt;0, BB161, IF(BB161=0, L161))</f>
        <v>7</v>
      </c>
      <c r="BD161" s="81">
        <f>IF(BA161=1, (BC161-L161), IF(BA161=0, BC161))</f>
        <v>7</v>
      </c>
      <c r="BE161" s="122"/>
    </row>
    <row r="162" spans="1:57" s="31" customFormat="1" ht="17.5" customHeight="1" thickBot="1" x14ac:dyDescent="0.4">
      <c r="A162" s="331"/>
      <c r="B162" s="339"/>
      <c r="C162" s="333"/>
      <c r="D162" s="241"/>
      <c r="E162" s="152" t="s">
        <v>74</v>
      </c>
      <c r="F162" s="51" t="s">
        <v>75</v>
      </c>
      <c r="G162" s="51">
        <v>8</v>
      </c>
      <c r="H162" s="51">
        <v>1</v>
      </c>
      <c r="I162" s="108">
        <f xml:space="preserve"> SUM(G162*H162)</f>
        <v>8</v>
      </c>
      <c r="J162" s="336"/>
      <c r="K162" s="309"/>
      <c r="L162" s="54">
        <v>7</v>
      </c>
      <c r="M162" s="288"/>
      <c r="N162" s="268"/>
      <c r="O162" s="151">
        <v>1</v>
      </c>
      <c r="P162" s="120" t="s">
        <v>95</v>
      </c>
      <c r="Q162" s="111">
        <v>0.375</v>
      </c>
      <c r="R162" s="111">
        <v>0.875</v>
      </c>
      <c r="S162" s="111"/>
      <c r="T162" s="111"/>
      <c r="U162" s="118"/>
      <c r="V162" s="132" t="s">
        <v>89</v>
      </c>
      <c r="W162" s="112"/>
      <c r="X162" s="121"/>
      <c r="Y162" s="122"/>
      <c r="Z162" s="113">
        <f t="shared" si="216"/>
        <v>0</v>
      </c>
      <c r="AA162" s="81">
        <f t="shared" si="217"/>
        <v>0</v>
      </c>
      <c r="AB162" s="112"/>
      <c r="AC162" s="121"/>
      <c r="AD162" s="121"/>
      <c r="AE162" s="123">
        <f t="shared" si="218"/>
        <v>0</v>
      </c>
      <c r="AF162" s="81">
        <f t="shared" si="219"/>
        <v>0</v>
      </c>
      <c r="AG162" s="112"/>
      <c r="AH162" s="121"/>
      <c r="AI162" s="122"/>
      <c r="AJ162" s="113">
        <f t="shared" si="220"/>
        <v>0</v>
      </c>
      <c r="AK162" s="81">
        <f t="shared" si="221"/>
        <v>0</v>
      </c>
      <c r="AL162" s="112"/>
      <c r="AM162" s="121"/>
      <c r="AN162" s="122"/>
      <c r="AO162" s="113">
        <f t="shared" si="222"/>
        <v>0</v>
      </c>
      <c r="AP162" s="81">
        <f t="shared" si="223"/>
        <v>0</v>
      </c>
      <c r="AQ162" s="112"/>
      <c r="AR162" s="121"/>
      <c r="AS162" s="122"/>
      <c r="AT162" s="113">
        <f t="shared" si="224"/>
        <v>0</v>
      </c>
      <c r="AU162" s="81">
        <f t="shared" si="225"/>
        <v>0</v>
      </c>
      <c r="AV162" s="112"/>
      <c r="AW162" s="121"/>
      <c r="AX162" s="122"/>
      <c r="AY162" s="113">
        <f t="shared" si="226"/>
        <v>0</v>
      </c>
      <c r="AZ162" s="81">
        <f t="shared" si="227"/>
        <v>0</v>
      </c>
      <c r="BA162" s="78"/>
      <c r="BB162" s="79">
        <f t="shared" si="228"/>
        <v>0</v>
      </c>
      <c r="BC162" s="115">
        <f>IF(BB162&gt;0, BB162, IF(BB162=0, L162))</f>
        <v>7</v>
      </c>
      <c r="BD162" s="81">
        <f>IF(BA162=1, (BC162-L162), IF(BA162=0, BC162))</f>
        <v>7</v>
      </c>
      <c r="BE162" s="122"/>
    </row>
    <row r="163" spans="1:57" s="31" customFormat="1" ht="17.5" customHeight="1" x14ac:dyDescent="0.35">
      <c r="A163" s="331"/>
      <c r="B163" s="340"/>
      <c r="C163" s="334"/>
      <c r="D163" s="241"/>
      <c r="E163" s="258" t="s">
        <v>56</v>
      </c>
      <c r="F163" s="259"/>
      <c r="G163" s="92"/>
      <c r="H163" s="141">
        <f>SUM(H160:H162)</f>
        <v>3</v>
      </c>
      <c r="I163" s="94">
        <f>SUM(I160:I162)</f>
        <v>17.5</v>
      </c>
      <c r="J163" s="337"/>
      <c r="K163" s="309"/>
      <c r="L163" s="95">
        <f>SUM(L160:L162)</f>
        <v>15.5</v>
      </c>
      <c r="M163" s="288"/>
      <c r="N163" s="269"/>
      <c r="O163" s="153"/>
      <c r="P163" s="198"/>
      <c r="Q163" s="68"/>
      <c r="R163" s="68"/>
      <c r="S163" s="68"/>
      <c r="T163" s="68"/>
      <c r="U163" s="209"/>
      <c r="V163" s="199"/>
      <c r="W163" s="200"/>
      <c r="X163" s="201"/>
      <c r="Y163" s="202"/>
      <c r="Z163" s="203"/>
      <c r="AA163" s="203"/>
      <c r="AB163" s="200"/>
      <c r="AC163" s="201"/>
      <c r="AD163" s="201"/>
      <c r="AE163" s="204"/>
      <c r="AF163" s="203"/>
      <c r="AG163" s="200"/>
      <c r="AH163" s="201"/>
      <c r="AI163" s="202"/>
      <c r="AJ163" s="203"/>
      <c r="AK163" s="203"/>
      <c r="AL163" s="200"/>
      <c r="AM163" s="201"/>
      <c r="AN163" s="202"/>
      <c r="AO163" s="203"/>
      <c r="AP163" s="203"/>
      <c r="AQ163" s="200"/>
      <c r="AR163" s="201"/>
      <c r="AS163" s="202"/>
      <c r="AT163" s="203"/>
      <c r="AU163" s="203"/>
      <c r="AV163" s="200"/>
      <c r="AW163" s="201"/>
      <c r="AX163" s="202"/>
      <c r="AY163" s="203"/>
      <c r="AZ163" s="203"/>
      <c r="BA163" s="204"/>
      <c r="BB163" s="224"/>
      <c r="BC163" s="203"/>
      <c r="BD163" s="228">
        <f>SUM(BD160:BD162)</f>
        <v>15.5</v>
      </c>
      <c r="BE163" s="202"/>
    </row>
    <row r="164" spans="1:57" s="31" customFormat="1" ht="17.5" customHeight="1" thickBot="1" x14ac:dyDescent="0.4">
      <c r="A164" s="167"/>
      <c r="B164" s="101"/>
      <c r="C164" s="102"/>
      <c r="D164" s="102"/>
      <c r="E164" s="101"/>
      <c r="F164" s="101"/>
      <c r="G164" s="101"/>
      <c r="H164" s="101"/>
      <c r="I164" s="101"/>
      <c r="J164" s="102"/>
      <c r="K164" s="147"/>
      <c r="L164" s="104"/>
      <c r="M164" s="105"/>
      <c r="N164" s="105"/>
      <c r="O164" s="99"/>
      <c r="P164" s="198"/>
      <c r="Q164" s="68"/>
      <c r="R164" s="68"/>
      <c r="S164" s="68"/>
      <c r="T164" s="68"/>
      <c r="U164" s="209"/>
      <c r="V164" s="199"/>
      <c r="W164" s="200"/>
      <c r="X164" s="201"/>
      <c r="Y164" s="202"/>
      <c r="Z164" s="203"/>
      <c r="AA164" s="203"/>
      <c r="AB164" s="200"/>
      <c r="AC164" s="201"/>
      <c r="AD164" s="201"/>
      <c r="AE164" s="204"/>
      <c r="AF164" s="203"/>
      <c r="AG164" s="200"/>
      <c r="AH164" s="201"/>
      <c r="AI164" s="202"/>
      <c r="AJ164" s="203"/>
      <c r="AK164" s="203"/>
      <c r="AL164" s="200"/>
      <c r="AM164" s="201"/>
      <c r="AN164" s="202"/>
      <c r="AO164" s="203"/>
      <c r="AP164" s="203"/>
      <c r="AQ164" s="200"/>
      <c r="AR164" s="201"/>
      <c r="AS164" s="202"/>
      <c r="AT164" s="203"/>
      <c r="AU164" s="203"/>
      <c r="AV164" s="200"/>
      <c r="AW164" s="201"/>
      <c r="AX164" s="202"/>
      <c r="AY164" s="203"/>
      <c r="AZ164" s="203"/>
      <c r="BA164" s="206"/>
      <c r="BB164" s="223"/>
      <c r="BC164" s="194"/>
      <c r="BD164" s="208"/>
      <c r="BE164" s="202"/>
    </row>
    <row r="165" spans="1:57" s="31" customFormat="1" ht="17.5" customHeight="1" thickBot="1" x14ac:dyDescent="0.4">
      <c r="A165" s="241">
        <v>10</v>
      </c>
      <c r="B165" s="242" t="s">
        <v>36</v>
      </c>
      <c r="C165" s="245" t="s">
        <v>194</v>
      </c>
      <c r="D165" s="245" t="s">
        <v>195</v>
      </c>
      <c r="E165" s="51" t="s">
        <v>71</v>
      </c>
      <c r="F165" s="51" t="s">
        <v>52</v>
      </c>
      <c r="G165" s="51">
        <v>4</v>
      </c>
      <c r="H165" s="51">
        <v>1</v>
      </c>
      <c r="I165" s="108">
        <f xml:space="preserve"> SUM(G165*H165)</f>
        <v>4</v>
      </c>
      <c r="J165" s="286">
        <f xml:space="preserve"> I166/8</f>
        <v>0.5</v>
      </c>
      <c r="K165" s="287" t="s">
        <v>41</v>
      </c>
      <c r="L165" s="54">
        <v>4</v>
      </c>
      <c r="M165" s="288">
        <f>L166/8</f>
        <v>0.5</v>
      </c>
      <c r="N165" s="288">
        <f>BD165/8</f>
        <v>0.5</v>
      </c>
      <c r="O165" s="151">
        <v>1</v>
      </c>
      <c r="P165" s="120" t="s">
        <v>168</v>
      </c>
      <c r="Q165" s="111">
        <v>0.29166666666666669</v>
      </c>
      <c r="R165" s="111">
        <v>0.79166666666666663</v>
      </c>
      <c r="S165" s="111"/>
      <c r="T165" s="111"/>
      <c r="U165" s="118"/>
      <c r="V165" s="132" t="s">
        <v>136</v>
      </c>
      <c r="W165" s="112"/>
      <c r="X165" s="121"/>
      <c r="Y165" s="122"/>
      <c r="Z165" s="113">
        <f t="shared" ref="Z165" si="229">(Y165-X165)*24</f>
        <v>0</v>
      </c>
      <c r="AA165" s="81">
        <f t="shared" ref="AA165" si="230">IF(Z165&gt;=6, (Z165-1), IF(Z165&lt;6, Z165))</f>
        <v>0</v>
      </c>
      <c r="AB165" s="112"/>
      <c r="AC165" s="121"/>
      <c r="AD165" s="121"/>
      <c r="AE165" s="123">
        <f t="shared" ref="AE165" si="231">(AD165-AC165)*24</f>
        <v>0</v>
      </c>
      <c r="AF165" s="81">
        <f t="shared" ref="AF165" si="232">IF(AE165&gt;=6, (AE165-1), IF(AE165&lt;6, AE165))</f>
        <v>0</v>
      </c>
      <c r="AG165" s="112"/>
      <c r="AH165" s="121"/>
      <c r="AI165" s="122"/>
      <c r="AJ165" s="113">
        <f t="shared" ref="AJ165" si="233">(AI165-AH165)*24</f>
        <v>0</v>
      </c>
      <c r="AK165" s="81">
        <f t="shared" ref="AK165" si="234">IF(AJ165&gt;=6, (AJ165-1), IF(AJ165&lt;6, AJ165))</f>
        <v>0</v>
      </c>
      <c r="AL165" s="112"/>
      <c r="AM165" s="121"/>
      <c r="AN165" s="122"/>
      <c r="AO165" s="113">
        <f t="shared" ref="AO165" si="235">(AN165-AM165)*24</f>
        <v>0</v>
      </c>
      <c r="AP165" s="81">
        <f t="shared" ref="AP165" si="236">IF(AO165&gt;=6, (AO165-1), IF(AO165&lt;6, AO165))</f>
        <v>0</v>
      </c>
      <c r="AQ165" s="112"/>
      <c r="AR165" s="121"/>
      <c r="AS165" s="122"/>
      <c r="AT165" s="113">
        <f t="shared" ref="AT165" si="237">(AS165-AR165)*24</f>
        <v>0</v>
      </c>
      <c r="AU165" s="81">
        <f t="shared" ref="AU165" si="238">IF(AT165&gt;=6, (AT165-1), IF(AT165&lt;6, AT165))</f>
        <v>0</v>
      </c>
      <c r="AV165" s="112"/>
      <c r="AW165" s="121"/>
      <c r="AX165" s="122"/>
      <c r="AY165" s="113">
        <f t="shared" ref="AY165" si="239">(AX165-AW165)*24</f>
        <v>0</v>
      </c>
      <c r="AZ165" s="81">
        <f t="shared" ref="AZ165" si="240">IF(AY165&gt;=6, (AY165-1), IF(AY165&lt;6, AY165))</f>
        <v>0</v>
      </c>
      <c r="BA165" s="78"/>
      <c r="BB165" s="79">
        <f t="shared" ref="BB165" si="241">AA165+AF165+AK165+AP165+AU165+AZ165</f>
        <v>0</v>
      </c>
      <c r="BC165" s="115">
        <f>IF(BB165&gt;0, BB165, IF(BB165=0, L165))</f>
        <v>4</v>
      </c>
      <c r="BD165" s="81">
        <f>IF(BA165=1, (BC165-L165), IF(BA165=0, BC165))</f>
        <v>4</v>
      </c>
      <c r="BE165" s="122"/>
    </row>
    <row r="166" spans="1:57" s="31" customFormat="1" ht="17.5" customHeight="1" x14ac:dyDescent="0.35">
      <c r="A166" s="241"/>
      <c r="B166" s="244"/>
      <c r="C166" s="245"/>
      <c r="D166" s="245"/>
      <c r="E166" s="258" t="s">
        <v>56</v>
      </c>
      <c r="F166" s="259"/>
      <c r="G166" s="92"/>
      <c r="H166" s="141">
        <f xml:space="preserve"> SUM(H165)</f>
        <v>1</v>
      </c>
      <c r="I166" s="94">
        <f>SUM(I165)</f>
        <v>4</v>
      </c>
      <c r="J166" s="286"/>
      <c r="K166" s="287"/>
      <c r="L166" s="95">
        <f>SUM(L165)</f>
        <v>4</v>
      </c>
      <c r="M166" s="288"/>
      <c r="N166" s="288"/>
      <c r="O166" s="153"/>
      <c r="P166" s="198"/>
      <c r="Q166" s="68"/>
      <c r="R166" s="68"/>
      <c r="S166" s="68"/>
      <c r="T166" s="68"/>
      <c r="U166" s="209"/>
      <c r="V166" s="199"/>
      <c r="W166" s="200"/>
      <c r="X166" s="201"/>
      <c r="Y166" s="202"/>
      <c r="Z166" s="203"/>
      <c r="AA166" s="203"/>
      <c r="AB166" s="200"/>
      <c r="AC166" s="201"/>
      <c r="AD166" s="201"/>
      <c r="AE166" s="204"/>
      <c r="AF166" s="203"/>
      <c r="AG166" s="200"/>
      <c r="AH166" s="201"/>
      <c r="AI166" s="202"/>
      <c r="AJ166" s="203"/>
      <c r="AK166" s="203"/>
      <c r="AL166" s="200"/>
      <c r="AM166" s="201"/>
      <c r="AN166" s="202"/>
      <c r="AO166" s="203"/>
      <c r="AP166" s="203"/>
      <c r="AQ166" s="200"/>
      <c r="AR166" s="201"/>
      <c r="AS166" s="202"/>
      <c r="AT166" s="203"/>
      <c r="AU166" s="203"/>
      <c r="AV166" s="200"/>
      <c r="AW166" s="201"/>
      <c r="AX166" s="202"/>
      <c r="AY166" s="203"/>
      <c r="AZ166" s="203"/>
      <c r="BA166" s="204"/>
      <c r="BB166" s="224"/>
      <c r="BC166" s="203"/>
      <c r="BD166" s="228">
        <f>BD165</f>
        <v>4</v>
      </c>
      <c r="BE166" s="202"/>
    </row>
    <row r="167" spans="1:57" s="31" customFormat="1" ht="17.5" customHeight="1" thickBot="1" x14ac:dyDescent="0.4">
      <c r="A167" s="100"/>
      <c r="B167" s="101"/>
      <c r="C167" s="102"/>
      <c r="D167" s="102"/>
      <c r="E167" s="101"/>
      <c r="F167" s="101"/>
      <c r="G167" s="101"/>
      <c r="H167" s="101"/>
      <c r="I167" s="101"/>
      <c r="J167" s="102"/>
      <c r="K167" s="103"/>
      <c r="L167" s="104"/>
      <c r="M167" s="105"/>
      <c r="N167" s="105"/>
      <c r="O167" s="99"/>
      <c r="P167" s="198"/>
      <c r="Q167" s="68"/>
      <c r="R167" s="68"/>
      <c r="S167" s="68"/>
      <c r="T167" s="68"/>
      <c r="U167" s="209"/>
      <c r="V167" s="199"/>
      <c r="W167" s="200"/>
      <c r="X167" s="201"/>
      <c r="Y167" s="202"/>
      <c r="Z167" s="203"/>
      <c r="AA167" s="203"/>
      <c r="AB167" s="200"/>
      <c r="AC167" s="201"/>
      <c r="AD167" s="201"/>
      <c r="AE167" s="204"/>
      <c r="AF167" s="203"/>
      <c r="AG167" s="200"/>
      <c r="AH167" s="201"/>
      <c r="AI167" s="202"/>
      <c r="AJ167" s="203"/>
      <c r="AK167" s="203"/>
      <c r="AL167" s="200"/>
      <c r="AM167" s="201"/>
      <c r="AN167" s="202"/>
      <c r="AO167" s="203"/>
      <c r="AP167" s="203"/>
      <c r="AQ167" s="200"/>
      <c r="AR167" s="201"/>
      <c r="AS167" s="202"/>
      <c r="AT167" s="203"/>
      <c r="AU167" s="203"/>
      <c r="AV167" s="200"/>
      <c r="AW167" s="201"/>
      <c r="AX167" s="202"/>
      <c r="AY167" s="203"/>
      <c r="AZ167" s="203"/>
      <c r="BA167" s="206"/>
      <c r="BB167" s="223"/>
      <c r="BC167" s="194"/>
      <c r="BD167" s="208"/>
      <c r="BE167" s="202"/>
    </row>
    <row r="168" spans="1:57" s="31" customFormat="1" ht="17.5" customHeight="1" thickBot="1" x14ac:dyDescent="0.4">
      <c r="A168" s="241">
        <v>11</v>
      </c>
      <c r="B168" s="242" t="s">
        <v>36</v>
      </c>
      <c r="C168" s="329" t="s">
        <v>196</v>
      </c>
      <c r="D168" s="245" t="s">
        <v>62</v>
      </c>
      <c r="E168" s="51" t="s">
        <v>153</v>
      </c>
      <c r="F168" s="51" t="s">
        <v>53</v>
      </c>
      <c r="G168" s="51">
        <v>5</v>
      </c>
      <c r="H168" s="51">
        <v>1</v>
      </c>
      <c r="I168" s="108">
        <f xml:space="preserve"> SUM(G168*H168)</f>
        <v>5</v>
      </c>
      <c r="J168" s="286">
        <f xml:space="preserve"> I169/8*2</f>
        <v>1.25</v>
      </c>
      <c r="K168" s="287" t="s">
        <v>128</v>
      </c>
      <c r="L168" s="54">
        <v>5</v>
      </c>
      <c r="M168" s="288">
        <f>L168/8</f>
        <v>0.625</v>
      </c>
      <c r="N168" s="319">
        <f>BD168/8</f>
        <v>0.625</v>
      </c>
      <c r="O168" s="109">
        <v>1</v>
      </c>
      <c r="P168" s="120" t="s">
        <v>197</v>
      </c>
      <c r="Q168" s="111">
        <v>0.45833333333333331</v>
      </c>
      <c r="R168" s="111">
        <v>0.79166666666666663</v>
      </c>
      <c r="S168" s="111"/>
      <c r="T168" s="111"/>
      <c r="U168" s="118"/>
      <c r="V168" s="132" t="s">
        <v>43</v>
      </c>
      <c r="W168" s="112"/>
      <c r="X168" s="121"/>
      <c r="Y168" s="122"/>
      <c r="Z168" s="113">
        <f t="shared" ref="Z168" si="242">(Y168-X168)*24</f>
        <v>0</v>
      </c>
      <c r="AA168" s="81">
        <f t="shared" ref="AA168" si="243">IF(Z168&gt;=6, (Z168-1), IF(Z168&lt;6, Z168))</f>
        <v>0</v>
      </c>
      <c r="AB168" s="112"/>
      <c r="AC168" s="121"/>
      <c r="AD168" s="121"/>
      <c r="AE168" s="123">
        <f t="shared" ref="AE168" si="244">(AD168-AC168)*24</f>
        <v>0</v>
      </c>
      <c r="AF168" s="81">
        <f t="shared" ref="AF168" si="245">IF(AE168&gt;=6, (AE168-1), IF(AE168&lt;6, AE168))</f>
        <v>0</v>
      </c>
      <c r="AG168" s="112"/>
      <c r="AH168" s="121"/>
      <c r="AI168" s="122"/>
      <c r="AJ168" s="113">
        <f t="shared" ref="AJ168" si="246">(AI168-AH168)*24</f>
        <v>0</v>
      </c>
      <c r="AK168" s="81">
        <f t="shared" ref="AK168" si="247">IF(AJ168&gt;=6, (AJ168-1), IF(AJ168&lt;6, AJ168))</f>
        <v>0</v>
      </c>
      <c r="AL168" s="112"/>
      <c r="AM168" s="121"/>
      <c r="AN168" s="122"/>
      <c r="AO168" s="113">
        <f t="shared" ref="AO168" si="248">(AN168-AM168)*24</f>
        <v>0</v>
      </c>
      <c r="AP168" s="81">
        <f t="shared" ref="AP168" si="249">IF(AO168&gt;=6, (AO168-1), IF(AO168&lt;6, AO168))</f>
        <v>0</v>
      </c>
      <c r="AQ168" s="112"/>
      <c r="AR168" s="121"/>
      <c r="AS168" s="122"/>
      <c r="AT168" s="113">
        <f t="shared" ref="AT168" si="250">(AS168-AR168)*24</f>
        <v>0</v>
      </c>
      <c r="AU168" s="81">
        <f t="shared" ref="AU168" si="251">IF(AT168&gt;=6, (AT168-1), IF(AT168&lt;6, AT168))</f>
        <v>0</v>
      </c>
      <c r="AV168" s="112"/>
      <c r="AW168" s="121"/>
      <c r="AX168" s="122"/>
      <c r="AY168" s="113">
        <f t="shared" ref="AY168" si="252">(AX168-AW168)*24</f>
        <v>0</v>
      </c>
      <c r="AZ168" s="81">
        <f t="shared" ref="AZ168" si="253">IF(AY168&gt;=6, (AY168-1), IF(AY168&lt;6, AY168))</f>
        <v>0</v>
      </c>
      <c r="BA168" s="78"/>
      <c r="BB168" s="79">
        <f t="shared" ref="BB168" si="254">AA168+AF168+AK168+AP168+AU168+AZ168</f>
        <v>0</v>
      </c>
      <c r="BC168" s="115">
        <f>IF(BB168&gt;0, BB168, IF(BB168=0, L168))</f>
        <v>5</v>
      </c>
      <c r="BD168" s="81">
        <f>IF(BA168=1, (BC168-L168), IF(BA168=0, BC168))</f>
        <v>5</v>
      </c>
      <c r="BE168" s="122"/>
    </row>
    <row r="169" spans="1:57" s="31" customFormat="1" ht="17.5" customHeight="1" x14ac:dyDescent="0.35">
      <c r="A169" s="241"/>
      <c r="B169" s="244"/>
      <c r="C169" s="329"/>
      <c r="D169" s="245"/>
      <c r="E169" s="258" t="s">
        <v>141</v>
      </c>
      <c r="F169" s="259"/>
      <c r="G169" s="92"/>
      <c r="H169" s="141">
        <f xml:space="preserve"> H168</f>
        <v>1</v>
      </c>
      <c r="I169" s="94">
        <f>SUM(I168)</f>
        <v>5</v>
      </c>
      <c r="J169" s="286"/>
      <c r="K169" s="287"/>
      <c r="L169" s="95">
        <f>SUM(L168)</f>
        <v>5</v>
      </c>
      <c r="M169" s="288"/>
      <c r="N169" s="319"/>
      <c r="O169" s="99"/>
      <c r="P169" s="198"/>
      <c r="Q169" s="68"/>
      <c r="R169" s="68"/>
      <c r="S169" s="68"/>
      <c r="T169" s="68"/>
      <c r="U169" s="209"/>
      <c r="V169" s="199"/>
      <c r="W169" s="200"/>
      <c r="X169" s="201"/>
      <c r="Y169" s="202"/>
      <c r="Z169" s="203"/>
      <c r="AA169" s="203"/>
      <c r="AB169" s="200"/>
      <c r="AC169" s="201"/>
      <c r="AD169" s="201"/>
      <c r="AE169" s="204"/>
      <c r="AF169" s="203"/>
      <c r="AG169" s="200"/>
      <c r="AH169" s="201"/>
      <c r="AI169" s="202"/>
      <c r="AJ169" s="203"/>
      <c r="AK169" s="203"/>
      <c r="AL169" s="200"/>
      <c r="AM169" s="201"/>
      <c r="AN169" s="202"/>
      <c r="AO169" s="203"/>
      <c r="AP169" s="203"/>
      <c r="AQ169" s="200"/>
      <c r="AR169" s="201"/>
      <c r="AS169" s="202"/>
      <c r="AT169" s="203"/>
      <c r="AU169" s="203"/>
      <c r="AV169" s="200"/>
      <c r="AW169" s="201"/>
      <c r="AX169" s="202"/>
      <c r="AY169" s="203"/>
      <c r="AZ169" s="203"/>
      <c r="BA169" s="204"/>
      <c r="BB169" s="224"/>
      <c r="BC169" s="203"/>
      <c r="BD169" s="228">
        <f>BD168</f>
        <v>5</v>
      </c>
      <c r="BE169" s="202"/>
    </row>
    <row r="170" spans="1:57" s="31" customFormat="1" ht="17.5" customHeight="1" thickBot="1" x14ac:dyDescent="0.4">
      <c r="A170" s="100"/>
      <c r="B170" s="101"/>
      <c r="C170" s="102"/>
      <c r="D170" s="102"/>
      <c r="E170" s="101"/>
      <c r="F170" s="101"/>
      <c r="G170" s="101"/>
      <c r="H170" s="101"/>
      <c r="I170" s="101"/>
      <c r="J170" s="102"/>
      <c r="K170" s="103"/>
      <c r="L170" s="104"/>
      <c r="M170" s="105"/>
      <c r="N170" s="105"/>
      <c r="O170" s="99"/>
      <c r="P170" s="198"/>
      <c r="Q170" s="68"/>
      <c r="R170" s="68"/>
      <c r="S170" s="68"/>
      <c r="T170" s="68"/>
      <c r="U170" s="209"/>
      <c r="V170" s="199"/>
      <c r="W170" s="200"/>
      <c r="X170" s="201"/>
      <c r="Y170" s="202"/>
      <c r="Z170" s="203"/>
      <c r="AA170" s="203"/>
      <c r="AB170" s="200"/>
      <c r="AC170" s="201"/>
      <c r="AD170" s="201"/>
      <c r="AE170" s="204"/>
      <c r="AF170" s="203"/>
      <c r="AG170" s="200"/>
      <c r="AH170" s="201"/>
      <c r="AI170" s="202"/>
      <c r="AJ170" s="203"/>
      <c r="AK170" s="203"/>
      <c r="AL170" s="200"/>
      <c r="AM170" s="201"/>
      <c r="AN170" s="202"/>
      <c r="AO170" s="203"/>
      <c r="AP170" s="203"/>
      <c r="AQ170" s="200"/>
      <c r="AR170" s="201"/>
      <c r="AS170" s="202"/>
      <c r="AT170" s="203"/>
      <c r="AU170" s="203"/>
      <c r="AV170" s="200"/>
      <c r="AW170" s="201"/>
      <c r="AX170" s="202"/>
      <c r="AY170" s="203"/>
      <c r="AZ170" s="203"/>
      <c r="BA170" s="206"/>
      <c r="BB170" s="223"/>
      <c r="BC170" s="194"/>
      <c r="BD170" s="208"/>
      <c r="BE170" s="202"/>
    </row>
    <row r="171" spans="1:57" s="31" customFormat="1" ht="17.5" customHeight="1" thickBot="1" x14ac:dyDescent="0.4">
      <c r="A171" s="241">
        <v>12</v>
      </c>
      <c r="B171" s="242" t="s">
        <v>36</v>
      </c>
      <c r="C171" s="329" t="s">
        <v>198</v>
      </c>
      <c r="D171" s="245" t="s">
        <v>199</v>
      </c>
      <c r="E171" s="135" t="s">
        <v>39</v>
      </c>
      <c r="F171" s="135" t="s">
        <v>67</v>
      </c>
      <c r="G171" s="135">
        <v>8</v>
      </c>
      <c r="H171" s="135">
        <v>1</v>
      </c>
      <c r="I171" s="136">
        <v>8</v>
      </c>
      <c r="J171" s="286">
        <f xml:space="preserve"> I173/8</f>
        <v>1.625</v>
      </c>
      <c r="K171" s="287" t="s">
        <v>41</v>
      </c>
      <c r="L171" s="54">
        <v>7</v>
      </c>
      <c r="M171" s="288">
        <f>L173/8</f>
        <v>1.5</v>
      </c>
      <c r="N171" s="288">
        <f>SUM(BD171:BD172)/8</f>
        <v>1.5</v>
      </c>
      <c r="O171" s="151">
        <v>1</v>
      </c>
      <c r="P171" s="110" t="s">
        <v>200</v>
      </c>
      <c r="Q171" s="111">
        <v>0.33333333333333331</v>
      </c>
      <c r="R171" s="111">
        <v>0.66666666666666663</v>
      </c>
      <c r="S171" s="111"/>
      <c r="T171" s="111"/>
      <c r="U171" s="118"/>
      <c r="V171" s="132" t="s">
        <v>43</v>
      </c>
      <c r="W171" s="112"/>
      <c r="X171" s="121"/>
      <c r="Y171" s="122"/>
      <c r="Z171" s="113">
        <f t="shared" ref="Z171:Z172" si="255">(Y171-X171)*24</f>
        <v>0</v>
      </c>
      <c r="AA171" s="81">
        <f t="shared" ref="AA171:AA172" si="256">IF(Z171&gt;=6, (Z171-1), IF(Z171&lt;6, Z171))</f>
        <v>0</v>
      </c>
      <c r="AB171" s="112"/>
      <c r="AC171" s="121"/>
      <c r="AD171" s="121"/>
      <c r="AE171" s="123">
        <f t="shared" ref="AE171:AE172" si="257">(AD171-AC171)*24</f>
        <v>0</v>
      </c>
      <c r="AF171" s="81">
        <f t="shared" ref="AF171:AF172" si="258">IF(AE171&gt;=6, (AE171-1), IF(AE171&lt;6, AE171))</f>
        <v>0</v>
      </c>
      <c r="AG171" s="112"/>
      <c r="AH171" s="121"/>
      <c r="AI171" s="122"/>
      <c r="AJ171" s="113">
        <f t="shared" ref="AJ171:AJ172" si="259">(AI171-AH171)*24</f>
        <v>0</v>
      </c>
      <c r="AK171" s="81">
        <f t="shared" ref="AK171:AK172" si="260">IF(AJ171&gt;=6, (AJ171-1), IF(AJ171&lt;6, AJ171))</f>
        <v>0</v>
      </c>
      <c r="AL171" s="112"/>
      <c r="AM171" s="121"/>
      <c r="AN171" s="122"/>
      <c r="AO171" s="113">
        <f t="shared" ref="AO171:AO172" si="261">(AN171-AM171)*24</f>
        <v>0</v>
      </c>
      <c r="AP171" s="81">
        <f t="shared" ref="AP171:AP172" si="262">IF(AO171&gt;=6, (AO171-1), IF(AO171&lt;6, AO171))</f>
        <v>0</v>
      </c>
      <c r="AQ171" s="112"/>
      <c r="AR171" s="121"/>
      <c r="AS171" s="122"/>
      <c r="AT171" s="113">
        <f t="shared" ref="AT171:AT172" si="263">(AS171-AR171)*24</f>
        <v>0</v>
      </c>
      <c r="AU171" s="81">
        <f t="shared" ref="AU171:AU172" si="264">IF(AT171&gt;=6, (AT171-1), IF(AT171&lt;6, AT171))</f>
        <v>0</v>
      </c>
      <c r="AV171" s="112"/>
      <c r="AW171" s="121"/>
      <c r="AX171" s="122"/>
      <c r="AY171" s="113">
        <f t="shared" ref="AY171:AY172" si="265">(AX171-AW171)*24</f>
        <v>0</v>
      </c>
      <c r="AZ171" s="81">
        <f t="shared" ref="AZ171:AZ172" si="266">IF(AY171&gt;=6, (AY171-1), IF(AY171&lt;6, AY171))</f>
        <v>0</v>
      </c>
      <c r="BA171" s="78"/>
      <c r="BB171" s="79">
        <f t="shared" ref="BB171:BB174" si="267">AA171+AF171+AK171+AP171+AU171+AZ171</f>
        <v>0</v>
      </c>
      <c r="BC171" s="115">
        <f>IF(BB171&gt;0, BB171, IF(BB171=0, L171))</f>
        <v>7</v>
      </c>
      <c r="BD171" s="81">
        <f>IF(BA171=1, (BC171-L171), IF(BA171=0, BC171))</f>
        <v>7</v>
      </c>
      <c r="BE171" s="122"/>
    </row>
    <row r="172" spans="1:57" s="31" customFormat="1" ht="17.5" customHeight="1" thickBot="1" x14ac:dyDescent="0.4">
      <c r="A172" s="241"/>
      <c r="B172" s="243"/>
      <c r="C172" s="329"/>
      <c r="D172" s="245"/>
      <c r="E172" s="51" t="s">
        <v>67</v>
      </c>
      <c r="F172" s="51" t="s">
        <v>83</v>
      </c>
      <c r="G172" s="51">
        <v>5</v>
      </c>
      <c r="H172" s="51">
        <v>1</v>
      </c>
      <c r="I172" s="108">
        <f xml:space="preserve"> SUM(G172*H172)</f>
        <v>5</v>
      </c>
      <c r="J172" s="286"/>
      <c r="K172" s="287"/>
      <c r="L172" s="54">
        <v>5</v>
      </c>
      <c r="M172" s="288"/>
      <c r="N172" s="288"/>
      <c r="O172" s="151">
        <v>1</v>
      </c>
      <c r="P172" s="120" t="s">
        <v>201</v>
      </c>
      <c r="Q172" s="111">
        <v>0.66666666666666663</v>
      </c>
      <c r="R172" s="111">
        <v>0.79166666666666663</v>
      </c>
      <c r="S172" s="111"/>
      <c r="T172" s="111"/>
      <c r="U172" s="118"/>
      <c r="V172" s="132" t="s">
        <v>202</v>
      </c>
      <c r="W172" s="112"/>
      <c r="X172" s="121"/>
      <c r="Y172" s="122"/>
      <c r="Z172" s="113">
        <f t="shared" si="255"/>
        <v>0</v>
      </c>
      <c r="AA172" s="81">
        <f t="shared" si="256"/>
        <v>0</v>
      </c>
      <c r="AB172" s="112"/>
      <c r="AC172" s="121"/>
      <c r="AD172" s="121"/>
      <c r="AE172" s="123">
        <f t="shared" si="257"/>
        <v>0</v>
      </c>
      <c r="AF172" s="81">
        <f t="shared" si="258"/>
        <v>0</v>
      </c>
      <c r="AG172" s="112"/>
      <c r="AH172" s="121"/>
      <c r="AI172" s="122"/>
      <c r="AJ172" s="113">
        <f t="shared" si="259"/>
        <v>0</v>
      </c>
      <c r="AK172" s="81">
        <f t="shared" si="260"/>
        <v>0</v>
      </c>
      <c r="AL172" s="112"/>
      <c r="AM172" s="121"/>
      <c r="AN172" s="122"/>
      <c r="AO172" s="113">
        <f t="shared" si="261"/>
        <v>0</v>
      </c>
      <c r="AP172" s="81">
        <f t="shared" si="262"/>
        <v>0</v>
      </c>
      <c r="AQ172" s="112"/>
      <c r="AR172" s="121"/>
      <c r="AS172" s="122"/>
      <c r="AT172" s="113">
        <f t="shared" si="263"/>
        <v>0</v>
      </c>
      <c r="AU172" s="81">
        <f t="shared" si="264"/>
        <v>0</v>
      </c>
      <c r="AV172" s="112"/>
      <c r="AW172" s="121"/>
      <c r="AX172" s="122"/>
      <c r="AY172" s="113">
        <f t="shared" si="265"/>
        <v>0</v>
      </c>
      <c r="AZ172" s="81">
        <f t="shared" si="266"/>
        <v>0</v>
      </c>
      <c r="BA172" s="78"/>
      <c r="BB172" s="79">
        <f t="shared" si="267"/>
        <v>0</v>
      </c>
      <c r="BC172" s="115">
        <f>IF(BB172&gt;0, BB172, IF(BB172=0, L172))</f>
        <v>5</v>
      </c>
      <c r="BD172" s="81">
        <f>IF(BA172=1, (BC172-L172), IF(BA172=0, BC172))</f>
        <v>5</v>
      </c>
      <c r="BE172" s="122"/>
    </row>
    <row r="173" spans="1:57" s="31" customFormat="1" ht="17.5" customHeight="1" thickBot="1" x14ac:dyDescent="0.4">
      <c r="A173" s="241"/>
      <c r="B173" s="243"/>
      <c r="C173" s="329"/>
      <c r="D173" s="245"/>
      <c r="E173" s="258" t="s">
        <v>56</v>
      </c>
      <c r="F173" s="259"/>
      <c r="G173" s="92"/>
      <c r="H173" s="141">
        <f>SUM(H171:H172)</f>
        <v>2</v>
      </c>
      <c r="I173" s="94">
        <f>SUM(I171:I172)</f>
        <v>13</v>
      </c>
      <c r="J173" s="286"/>
      <c r="K173" s="287"/>
      <c r="L173" s="95">
        <f>SUM(L171:L172)</f>
        <v>12</v>
      </c>
      <c r="M173" s="288"/>
      <c r="N173" s="288"/>
      <c r="O173" s="153"/>
      <c r="P173" s="198"/>
      <c r="Q173" s="68"/>
      <c r="R173" s="68"/>
      <c r="S173" s="68"/>
      <c r="T173" s="68"/>
      <c r="U173" s="209"/>
      <c r="V173" s="199"/>
      <c r="W173" s="200"/>
      <c r="X173" s="201"/>
      <c r="Y173" s="202"/>
      <c r="Z173" s="203"/>
      <c r="AA173" s="203"/>
      <c r="AB173" s="200"/>
      <c r="AC173" s="201"/>
      <c r="AD173" s="201"/>
      <c r="AE173" s="204"/>
      <c r="AF173" s="203"/>
      <c r="AG173" s="200"/>
      <c r="AH173" s="201"/>
      <c r="AI173" s="202"/>
      <c r="AJ173" s="203"/>
      <c r="AK173" s="203"/>
      <c r="AL173" s="200"/>
      <c r="AM173" s="201"/>
      <c r="AN173" s="202"/>
      <c r="AO173" s="203"/>
      <c r="AP173" s="203"/>
      <c r="AQ173" s="200"/>
      <c r="AR173" s="201"/>
      <c r="AS173" s="202"/>
      <c r="AT173" s="203"/>
      <c r="AU173" s="203"/>
      <c r="AV173" s="200"/>
      <c r="AW173" s="201"/>
      <c r="AX173" s="202"/>
      <c r="AY173" s="203"/>
      <c r="AZ173" s="203"/>
      <c r="BA173" s="206"/>
      <c r="BB173" s="223"/>
      <c r="BC173" s="197"/>
      <c r="BD173" s="228">
        <f>SUM(BD171:BD172)</f>
        <v>12</v>
      </c>
      <c r="BE173" s="202"/>
    </row>
    <row r="174" spans="1:57" s="31" customFormat="1" ht="17.5" customHeight="1" thickBot="1" x14ac:dyDescent="0.4">
      <c r="A174" s="241"/>
      <c r="B174" s="243"/>
      <c r="C174" s="329"/>
      <c r="D174" s="245"/>
      <c r="E174" s="51" t="s">
        <v>39</v>
      </c>
      <c r="F174" s="51" t="s">
        <v>153</v>
      </c>
      <c r="G174" s="51">
        <v>6</v>
      </c>
      <c r="H174" s="51">
        <v>1</v>
      </c>
      <c r="I174" s="108">
        <f xml:space="preserve"> SUM(G174*H174)</f>
        <v>6</v>
      </c>
      <c r="J174" s="326">
        <f xml:space="preserve"> I175/8</f>
        <v>0.75</v>
      </c>
      <c r="K174" s="327" t="s">
        <v>57</v>
      </c>
      <c r="L174" s="162">
        <v>6</v>
      </c>
      <c r="M174" s="328">
        <f>L174/8</f>
        <v>0.75</v>
      </c>
      <c r="N174" s="328">
        <f>BD174/8</f>
        <v>0.75</v>
      </c>
      <c r="O174" s="151">
        <v>1</v>
      </c>
      <c r="P174" s="110" t="s">
        <v>200</v>
      </c>
      <c r="Q174" s="111">
        <v>0.33333333333333331</v>
      </c>
      <c r="R174" s="111">
        <v>0.54166666666666663</v>
      </c>
      <c r="S174" s="111"/>
      <c r="T174" s="111"/>
      <c r="U174" s="118"/>
      <c r="V174" s="132" t="s">
        <v>43</v>
      </c>
      <c r="W174" s="112"/>
      <c r="X174" s="121"/>
      <c r="Y174" s="122"/>
      <c r="Z174" s="113">
        <f t="shared" ref="Z174" si="268">(Y174-X174)*24</f>
        <v>0</v>
      </c>
      <c r="AA174" s="231">
        <f>Z174</f>
        <v>0</v>
      </c>
      <c r="AB174" s="112"/>
      <c r="AC174" s="121"/>
      <c r="AD174" s="121"/>
      <c r="AE174" s="123">
        <f t="shared" ref="AE174" si="269">(AD174-AC174)*24</f>
        <v>0</v>
      </c>
      <c r="AF174" s="231">
        <f>AE174</f>
        <v>0</v>
      </c>
      <c r="AG174" s="112"/>
      <c r="AH174" s="121"/>
      <c r="AI174" s="122"/>
      <c r="AJ174" s="113">
        <f t="shared" ref="AJ174" si="270">(AI174-AH174)*24</f>
        <v>0</v>
      </c>
      <c r="AK174" s="231">
        <f>AJ174</f>
        <v>0</v>
      </c>
      <c r="AL174" s="112"/>
      <c r="AM174" s="121"/>
      <c r="AN174" s="122"/>
      <c r="AO174" s="113">
        <f t="shared" ref="AO174" si="271">(AN174-AM174)*24</f>
        <v>0</v>
      </c>
      <c r="AP174" s="231">
        <f>AO174</f>
        <v>0</v>
      </c>
      <c r="AQ174" s="112"/>
      <c r="AR174" s="121"/>
      <c r="AS174" s="122"/>
      <c r="AT174" s="113">
        <f t="shared" ref="AT174" si="272">(AS174-AR174)*24</f>
        <v>0</v>
      </c>
      <c r="AU174" s="231">
        <f>AT174</f>
        <v>0</v>
      </c>
      <c r="AV174" s="112"/>
      <c r="AW174" s="121"/>
      <c r="AX174" s="122"/>
      <c r="AY174" s="113">
        <f t="shared" ref="AY174" si="273">(AX174-AW174)*24</f>
        <v>0</v>
      </c>
      <c r="AZ174" s="231">
        <f>AY174</f>
        <v>0</v>
      </c>
      <c r="BA174" s="78"/>
      <c r="BB174" s="79">
        <f t="shared" si="267"/>
        <v>0</v>
      </c>
      <c r="BC174" s="115">
        <f>IF(BB174&gt;0, BB174, IF(BB174=0, L174))</f>
        <v>6</v>
      </c>
      <c r="BD174" s="81">
        <f>IF(BA174=1, (BC174-L174), IF(BA174=0, BC174))</f>
        <v>6</v>
      </c>
      <c r="BE174" s="122"/>
    </row>
    <row r="175" spans="1:57" s="31" customFormat="1" ht="17.5" customHeight="1" x14ac:dyDescent="0.35">
      <c r="A175" s="241"/>
      <c r="B175" s="244"/>
      <c r="C175" s="329"/>
      <c r="D175" s="245"/>
      <c r="E175" s="258" t="s">
        <v>60</v>
      </c>
      <c r="F175" s="259"/>
      <c r="G175" s="92"/>
      <c r="H175" s="141">
        <f>SUM(H174)</f>
        <v>1</v>
      </c>
      <c r="I175" s="94">
        <f>SUM(I174)</f>
        <v>6</v>
      </c>
      <c r="J175" s="326"/>
      <c r="K175" s="327"/>
      <c r="L175" s="95">
        <f>SUM(L174)</f>
        <v>6</v>
      </c>
      <c r="M175" s="328"/>
      <c r="N175" s="328"/>
      <c r="O175" s="153"/>
      <c r="P175" s="198"/>
      <c r="Q175" s="68"/>
      <c r="R175" s="68"/>
      <c r="S175" s="68"/>
      <c r="T175" s="68"/>
      <c r="U175" s="209"/>
      <c r="V175" s="199"/>
      <c r="W175" s="200"/>
      <c r="X175" s="201"/>
      <c r="Y175" s="202"/>
      <c r="Z175" s="203"/>
      <c r="AA175" s="203"/>
      <c r="AB175" s="200"/>
      <c r="AC175" s="201"/>
      <c r="AD175" s="201"/>
      <c r="AE175" s="204"/>
      <c r="AF175" s="203"/>
      <c r="AG175" s="200"/>
      <c r="AH175" s="201"/>
      <c r="AI175" s="202"/>
      <c r="AJ175" s="203"/>
      <c r="AK175" s="203"/>
      <c r="AL175" s="200"/>
      <c r="AM175" s="201"/>
      <c r="AN175" s="202"/>
      <c r="AO175" s="203"/>
      <c r="AP175" s="203"/>
      <c r="AQ175" s="200"/>
      <c r="AR175" s="201"/>
      <c r="AS175" s="202"/>
      <c r="AT175" s="203"/>
      <c r="AU175" s="203"/>
      <c r="AV175" s="200"/>
      <c r="AW175" s="201"/>
      <c r="AX175" s="202"/>
      <c r="AY175" s="203"/>
      <c r="AZ175" s="203"/>
      <c r="BA175" s="204"/>
      <c r="BB175" s="224"/>
      <c r="BC175" s="203"/>
      <c r="BD175" s="228">
        <f>BD174</f>
        <v>6</v>
      </c>
      <c r="BE175" s="202"/>
    </row>
    <row r="176" spans="1:57" s="31" customFormat="1" ht="17.5" customHeight="1" thickBot="1" x14ac:dyDescent="0.4">
      <c r="A176" s="100"/>
      <c r="B176" s="101"/>
      <c r="C176" s="102"/>
      <c r="D176" s="102"/>
      <c r="E176" s="101"/>
      <c r="F176" s="101"/>
      <c r="G176" s="101"/>
      <c r="H176" s="101"/>
      <c r="I176" s="101"/>
      <c r="J176" s="102"/>
      <c r="K176" s="103"/>
      <c r="L176" s="104"/>
      <c r="M176" s="105"/>
      <c r="N176" s="105"/>
      <c r="O176" s="99"/>
      <c r="P176" s="198"/>
      <c r="Q176" s="68"/>
      <c r="R176" s="68"/>
      <c r="S176" s="68"/>
      <c r="T176" s="68"/>
      <c r="U176" s="209"/>
      <c r="V176" s="199"/>
      <c r="W176" s="200"/>
      <c r="X176" s="201"/>
      <c r="Y176" s="202"/>
      <c r="Z176" s="203"/>
      <c r="AA176" s="203"/>
      <c r="AB176" s="200"/>
      <c r="AC176" s="201"/>
      <c r="AD176" s="201"/>
      <c r="AE176" s="204"/>
      <c r="AF176" s="203"/>
      <c r="AG176" s="200"/>
      <c r="AH176" s="201"/>
      <c r="AI176" s="202"/>
      <c r="AJ176" s="203"/>
      <c r="AK176" s="203"/>
      <c r="AL176" s="200"/>
      <c r="AM176" s="201"/>
      <c r="AN176" s="202"/>
      <c r="AO176" s="203"/>
      <c r="AP176" s="203"/>
      <c r="AQ176" s="200"/>
      <c r="AR176" s="201"/>
      <c r="AS176" s="202"/>
      <c r="AT176" s="203"/>
      <c r="AU176" s="203"/>
      <c r="AV176" s="200"/>
      <c r="AW176" s="201"/>
      <c r="AX176" s="202"/>
      <c r="AY176" s="203"/>
      <c r="AZ176" s="203"/>
      <c r="BA176" s="206"/>
      <c r="BB176" s="223"/>
      <c r="BC176" s="194"/>
      <c r="BD176" s="208"/>
      <c r="BE176" s="202"/>
    </row>
    <row r="177" spans="1:57" s="31" customFormat="1" ht="17.5" customHeight="1" thickBot="1" x14ac:dyDescent="0.4">
      <c r="A177" s="241">
        <v>13</v>
      </c>
      <c r="B177" s="242" t="s">
        <v>36</v>
      </c>
      <c r="C177" s="329" t="s">
        <v>203</v>
      </c>
      <c r="D177" s="245" t="s">
        <v>38</v>
      </c>
      <c r="E177" s="138" t="s">
        <v>114</v>
      </c>
      <c r="F177" s="138" t="s">
        <v>204</v>
      </c>
      <c r="G177" s="138">
        <v>9</v>
      </c>
      <c r="H177" s="138">
        <v>1</v>
      </c>
      <c r="I177" s="139">
        <f xml:space="preserve"> SUM(G177*H177)</f>
        <v>9</v>
      </c>
      <c r="J177" s="286">
        <f xml:space="preserve"> I179/8</f>
        <v>2.25</v>
      </c>
      <c r="K177" s="287" t="s">
        <v>41</v>
      </c>
      <c r="L177" s="54">
        <v>8</v>
      </c>
      <c r="M177" s="288">
        <f>L179/8</f>
        <v>2</v>
      </c>
      <c r="N177" s="288">
        <f>SUM(BD177:BD178)/8</f>
        <v>2</v>
      </c>
      <c r="O177" s="151">
        <v>1</v>
      </c>
      <c r="P177" s="110" t="s">
        <v>205</v>
      </c>
      <c r="Q177" s="111">
        <v>0.35416666666666669</v>
      </c>
      <c r="R177" s="111">
        <v>0.72916666666666663</v>
      </c>
      <c r="S177" s="111"/>
      <c r="T177" s="111"/>
      <c r="U177" s="118"/>
      <c r="V177" s="132" t="s">
        <v>193</v>
      </c>
      <c r="W177" s="112"/>
      <c r="X177" s="121"/>
      <c r="Y177" s="122"/>
      <c r="Z177" s="113">
        <f t="shared" ref="Z177:Z178" si="274">(Y177-X177)*24</f>
        <v>0</v>
      </c>
      <c r="AA177" s="81">
        <f t="shared" ref="AA177:AA178" si="275">IF(Z177&gt;=6, (Z177-1), IF(Z177&lt;6, Z177))</f>
        <v>0</v>
      </c>
      <c r="AB177" s="112"/>
      <c r="AC177" s="121"/>
      <c r="AD177" s="121"/>
      <c r="AE177" s="123">
        <f t="shared" ref="AE177:AE178" si="276">(AD177-AC177)*24</f>
        <v>0</v>
      </c>
      <c r="AF177" s="81">
        <f t="shared" ref="AF177:AF178" si="277">IF(AE177&gt;=6, (AE177-1), IF(AE177&lt;6, AE177))</f>
        <v>0</v>
      </c>
      <c r="AG177" s="112"/>
      <c r="AH177" s="121"/>
      <c r="AI177" s="122"/>
      <c r="AJ177" s="113">
        <f t="shared" ref="AJ177:AJ178" si="278">(AI177-AH177)*24</f>
        <v>0</v>
      </c>
      <c r="AK177" s="81">
        <f t="shared" ref="AK177:AK178" si="279">IF(AJ177&gt;=6, (AJ177-1), IF(AJ177&lt;6, AJ177))</f>
        <v>0</v>
      </c>
      <c r="AL177" s="112"/>
      <c r="AM177" s="121"/>
      <c r="AN177" s="122"/>
      <c r="AO177" s="113">
        <f t="shared" ref="AO177:AO178" si="280">(AN177-AM177)*24</f>
        <v>0</v>
      </c>
      <c r="AP177" s="81">
        <f t="shared" ref="AP177:AP178" si="281">IF(AO177&gt;=6, (AO177-1), IF(AO177&lt;6, AO177))</f>
        <v>0</v>
      </c>
      <c r="AQ177" s="112"/>
      <c r="AR177" s="121"/>
      <c r="AS177" s="122"/>
      <c r="AT177" s="113">
        <f t="shared" ref="AT177:AT178" si="282">(AS177-AR177)*24</f>
        <v>0</v>
      </c>
      <c r="AU177" s="81">
        <f t="shared" ref="AU177:AU178" si="283">IF(AT177&gt;=6, (AT177-1), IF(AT177&lt;6, AT177))</f>
        <v>0</v>
      </c>
      <c r="AV177" s="112"/>
      <c r="AW177" s="121"/>
      <c r="AX177" s="122"/>
      <c r="AY177" s="113">
        <f t="shared" ref="AY177:AY178" si="284">(AX177-AW177)*24</f>
        <v>0</v>
      </c>
      <c r="AZ177" s="81">
        <f t="shared" ref="AZ177:AZ178" si="285">IF(AY177&gt;=6, (AY177-1), IF(AY177&lt;6, AY177))</f>
        <v>0</v>
      </c>
      <c r="BA177" s="78"/>
      <c r="BB177" s="79">
        <f t="shared" ref="BB177:BB178" si="286">AA177+AF177+AK177+AP177+AU177+AZ177</f>
        <v>0</v>
      </c>
      <c r="BC177" s="115">
        <f>IF(BB177&gt;0, BB177, IF(BB177=0, L177))</f>
        <v>8</v>
      </c>
      <c r="BD177" s="81">
        <f>IF(BA177=1, (BC177-L177), IF(BA177=0, BC177))</f>
        <v>8</v>
      </c>
      <c r="BE177" s="122"/>
    </row>
    <row r="178" spans="1:57" s="31" customFormat="1" ht="17.5" customHeight="1" thickBot="1" x14ac:dyDescent="0.4">
      <c r="A178" s="241"/>
      <c r="B178" s="243"/>
      <c r="C178" s="329"/>
      <c r="D178" s="245"/>
      <c r="E178" s="138" t="s">
        <v>71</v>
      </c>
      <c r="F178" s="138" t="s">
        <v>75</v>
      </c>
      <c r="G178" s="138">
        <v>9</v>
      </c>
      <c r="H178" s="138">
        <v>1</v>
      </c>
      <c r="I178" s="139">
        <f xml:space="preserve"> SUM(G178*H178)</f>
        <v>9</v>
      </c>
      <c r="J178" s="286"/>
      <c r="K178" s="287"/>
      <c r="L178" s="54">
        <v>8</v>
      </c>
      <c r="M178" s="288"/>
      <c r="N178" s="288"/>
      <c r="O178" s="151">
        <v>1</v>
      </c>
      <c r="P178" s="110" t="s">
        <v>206</v>
      </c>
      <c r="Q178" s="111">
        <v>0.35416666666666669</v>
      </c>
      <c r="R178" s="111">
        <v>0.75</v>
      </c>
      <c r="S178" s="111"/>
      <c r="T178" s="111"/>
      <c r="U178" s="118"/>
      <c r="V178" s="132" t="s">
        <v>193</v>
      </c>
      <c r="W178" s="112"/>
      <c r="X178" s="121"/>
      <c r="Y178" s="122"/>
      <c r="Z178" s="113">
        <f t="shared" si="274"/>
        <v>0</v>
      </c>
      <c r="AA178" s="81">
        <f t="shared" si="275"/>
        <v>0</v>
      </c>
      <c r="AB178" s="112"/>
      <c r="AC178" s="121"/>
      <c r="AD178" s="121"/>
      <c r="AE178" s="123">
        <f t="shared" si="276"/>
        <v>0</v>
      </c>
      <c r="AF178" s="81">
        <f t="shared" si="277"/>
        <v>0</v>
      </c>
      <c r="AG178" s="112"/>
      <c r="AH178" s="121"/>
      <c r="AI178" s="122"/>
      <c r="AJ178" s="113">
        <f t="shared" si="278"/>
        <v>0</v>
      </c>
      <c r="AK178" s="81">
        <f t="shared" si="279"/>
        <v>0</v>
      </c>
      <c r="AL178" s="112"/>
      <c r="AM178" s="121"/>
      <c r="AN178" s="122"/>
      <c r="AO178" s="113">
        <f t="shared" si="280"/>
        <v>0</v>
      </c>
      <c r="AP178" s="81">
        <f t="shared" si="281"/>
        <v>0</v>
      </c>
      <c r="AQ178" s="112"/>
      <c r="AR178" s="121"/>
      <c r="AS178" s="122"/>
      <c r="AT178" s="113">
        <f t="shared" si="282"/>
        <v>0</v>
      </c>
      <c r="AU178" s="81">
        <f t="shared" si="283"/>
        <v>0</v>
      </c>
      <c r="AV178" s="112"/>
      <c r="AW178" s="121"/>
      <c r="AX178" s="122"/>
      <c r="AY178" s="113">
        <f t="shared" si="284"/>
        <v>0</v>
      </c>
      <c r="AZ178" s="81">
        <f t="shared" si="285"/>
        <v>0</v>
      </c>
      <c r="BA178" s="78"/>
      <c r="BB178" s="79">
        <f t="shared" si="286"/>
        <v>0</v>
      </c>
      <c r="BC178" s="115">
        <f>IF(BB178&gt;0, BB178, IF(BB178=0, L178))</f>
        <v>8</v>
      </c>
      <c r="BD178" s="81">
        <f>IF(BA178=1, (BC178-L178), IF(BA178=0, BC178))</f>
        <v>8</v>
      </c>
      <c r="BE178" s="122"/>
    </row>
    <row r="179" spans="1:57" s="31" customFormat="1" ht="17.5" customHeight="1" x14ac:dyDescent="0.35">
      <c r="A179" s="241"/>
      <c r="B179" s="244"/>
      <c r="C179" s="329"/>
      <c r="D179" s="245"/>
      <c r="E179" s="258" t="s">
        <v>56</v>
      </c>
      <c r="F179" s="259"/>
      <c r="G179" s="92"/>
      <c r="H179" s="141">
        <f>SUM(H177:H178)</f>
        <v>2</v>
      </c>
      <c r="I179" s="94">
        <f>SUM(I177:I178)</f>
        <v>18</v>
      </c>
      <c r="J179" s="286"/>
      <c r="K179" s="287"/>
      <c r="L179" s="95">
        <f>SUM(L177:L178)</f>
        <v>16</v>
      </c>
      <c r="M179" s="288"/>
      <c r="N179" s="288"/>
      <c r="O179" s="153"/>
      <c r="P179" s="198"/>
      <c r="Q179" s="68"/>
      <c r="R179" s="68"/>
      <c r="S179" s="68"/>
      <c r="T179" s="68"/>
      <c r="U179" s="209"/>
      <c r="V179" s="199"/>
      <c r="W179" s="200"/>
      <c r="X179" s="201"/>
      <c r="Y179" s="202"/>
      <c r="Z179" s="203"/>
      <c r="AA179" s="203"/>
      <c r="AB179" s="200"/>
      <c r="AC179" s="201"/>
      <c r="AD179" s="201"/>
      <c r="AE179" s="204"/>
      <c r="AF179" s="203"/>
      <c r="AG179" s="200"/>
      <c r="AH179" s="201"/>
      <c r="AI179" s="202"/>
      <c r="AJ179" s="203"/>
      <c r="AK179" s="203"/>
      <c r="AL179" s="200"/>
      <c r="AM179" s="201"/>
      <c r="AN179" s="202"/>
      <c r="AO179" s="203"/>
      <c r="AP179" s="203"/>
      <c r="AQ179" s="200"/>
      <c r="AR179" s="201"/>
      <c r="AS179" s="202"/>
      <c r="AT179" s="203"/>
      <c r="AU179" s="203"/>
      <c r="AV179" s="200"/>
      <c r="AW179" s="201"/>
      <c r="AX179" s="202"/>
      <c r="AY179" s="203"/>
      <c r="AZ179" s="203"/>
      <c r="BA179" s="204"/>
      <c r="BB179" s="224"/>
      <c r="BC179" s="203"/>
      <c r="BD179" s="228">
        <f>SUM(BD177:BD178)</f>
        <v>16</v>
      </c>
      <c r="BE179" s="202"/>
    </row>
    <row r="180" spans="1:57" s="31" customFormat="1" ht="17.5" customHeight="1" thickBot="1" x14ac:dyDescent="0.4">
      <c r="A180" s="100"/>
      <c r="B180" s="101"/>
      <c r="C180" s="102"/>
      <c r="D180" s="102"/>
      <c r="E180" s="101"/>
      <c r="F180" s="101"/>
      <c r="G180" s="101"/>
      <c r="H180" s="101"/>
      <c r="I180" s="101"/>
      <c r="J180" s="102"/>
      <c r="K180" s="103"/>
      <c r="L180" s="104"/>
      <c r="M180" s="105"/>
      <c r="N180" s="105"/>
      <c r="O180" s="99"/>
      <c r="P180" s="198"/>
      <c r="Q180" s="68"/>
      <c r="R180" s="68"/>
      <c r="S180" s="68"/>
      <c r="T180" s="68"/>
      <c r="U180" s="209"/>
      <c r="V180" s="199"/>
      <c r="W180" s="200"/>
      <c r="X180" s="201"/>
      <c r="Y180" s="202"/>
      <c r="Z180" s="203"/>
      <c r="AA180" s="203"/>
      <c r="AB180" s="200"/>
      <c r="AC180" s="201"/>
      <c r="AD180" s="201"/>
      <c r="AE180" s="204"/>
      <c r="AF180" s="203"/>
      <c r="AG180" s="200"/>
      <c r="AH180" s="201"/>
      <c r="AI180" s="202"/>
      <c r="AJ180" s="203"/>
      <c r="AK180" s="203"/>
      <c r="AL180" s="200"/>
      <c r="AM180" s="201"/>
      <c r="AN180" s="202"/>
      <c r="AO180" s="203"/>
      <c r="AP180" s="203"/>
      <c r="AQ180" s="200"/>
      <c r="AR180" s="201"/>
      <c r="AS180" s="202"/>
      <c r="AT180" s="203"/>
      <c r="AU180" s="203"/>
      <c r="AV180" s="200"/>
      <c r="AW180" s="201"/>
      <c r="AX180" s="202"/>
      <c r="AY180" s="203"/>
      <c r="AZ180" s="203"/>
      <c r="BA180" s="206"/>
      <c r="BB180" s="223"/>
      <c r="BC180" s="194"/>
      <c r="BD180" s="208"/>
      <c r="BE180" s="202"/>
    </row>
    <row r="181" spans="1:57" s="31" customFormat="1" ht="17.5" customHeight="1" thickBot="1" x14ac:dyDescent="0.4">
      <c r="A181" s="241">
        <v>14</v>
      </c>
      <c r="B181" s="242" t="s">
        <v>36</v>
      </c>
      <c r="C181" s="329" t="s">
        <v>207</v>
      </c>
      <c r="D181" s="241" t="s">
        <v>179</v>
      </c>
      <c r="E181" s="51" t="s">
        <v>121</v>
      </c>
      <c r="F181" s="51" t="s">
        <v>108</v>
      </c>
      <c r="G181" s="51">
        <v>9.5</v>
      </c>
      <c r="H181" s="51">
        <v>1</v>
      </c>
      <c r="I181" s="108">
        <f xml:space="preserve"> SUM(G181*H181)</f>
        <v>9.5</v>
      </c>
      <c r="J181" s="286">
        <f xml:space="preserve"> I184/8</f>
        <v>1.5625</v>
      </c>
      <c r="K181" s="287" t="s">
        <v>41</v>
      </c>
      <c r="L181" s="54">
        <v>8.5</v>
      </c>
      <c r="M181" s="288">
        <f>L184/8</f>
        <v>1.4375</v>
      </c>
      <c r="N181" s="267">
        <f>SUM(BD181:BD183)/8</f>
        <v>1.4375</v>
      </c>
      <c r="O181" s="151">
        <v>1</v>
      </c>
      <c r="P181" s="110" t="s">
        <v>208</v>
      </c>
      <c r="Q181" s="111">
        <v>0.29166666666666669</v>
      </c>
      <c r="R181" s="111">
        <v>0.66666666666666663</v>
      </c>
      <c r="S181" s="111">
        <v>0.29166666666666669</v>
      </c>
      <c r="T181" s="111">
        <v>0.6875</v>
      </c>
      <c r="U181" s="118"/>
      <c r="V181" s="132" t="s">
        <v>193</v>
      </c>
      <c r="W181" s="112"/>
      <c r="X181" s="121"/>
      <c r="Y181" s="122"/>
      <c r="Z181" s="113">
        <f t="shared" ref="Z181:Z183" si="287">(Y181-X181)*24</f>
        <v>0</v>
      </c>
      <c r="AA181" s="81">
        <f t="shared" ref="AA181:AA183" si="288">IF(Z181&gt;=6, (Z181-1), IF(Z181&lt;6, Z181))</f>
        <v>0</v>
      </c>
      <c r="AB181" s="112"/>
      <c r="AC181" s="121"/>
      <c r="AD181" s="121"/>
      <c r="AE181" s="123">
        <f t="shared" ref="AE181:AE183" si="289">(AD181-AC181)*24</f>
        <v>0</v>
      </c>
      <c r="AF181" s="81">
        <f t="shared" ref="AF181:AF183" si="290">IF(AE181&gt;=6, (AE181-1), IF(AE181&lt;6, AE181))</f>
        <v>0</v>
      </c>
      <c r="AG181" s="112"/>
      <c r="AH181" s="121"/>
      <c r="AI181" s="122"/>
      <c r="AJ181" s="113">
        <f t="shared" ref="AJ181:AJ183" si="291">(AI181-AH181)*24</f>
        <v>0</v>
      </c>
      <c r="AK181" s="81">
        <f t="shared" ref="AK181:AK183" si="292">IF(AJ181&gt;=6, (AJ181-1), IF(AJ181&lt;6, AJ181))</f>
        <v>0</v>
      </c>
      <c r="AL181" s="112"/>
      <c r="AM181" s="121"/>
      <c r="AN181" s="122"/>
      <c r="AO181" s="113">
        <f t="shared" ref="AO181:AO183" si="293">(AN181-AM181)*24</f>
        <v>0</v>
      </c>
      <c r="AP181" s="81">
        <f t="shared" ref="AP181:AP183" si="294">IF(AO181&gt;=6, (AO181-1), IF(AO181&lt;6, AO181))</f>
        <v>0</v>
      </c>
      <c r="AQ181" s="112"/>
      <c r="AR181" s="121"/>
      <c r="AS181" s="122"/>
      <c r="AT181" s="113">
        <f t="shared" ref="AT181:AT183" si="295">(AS181-AR181)*24</f>
        <v>0</v>
      </c>
      <c r="AU181" s="81">
        <f t="shared" ref="AU181:AU183" si="296">IF(AT181&gt;=6, (AT181-1), IF(AT181&lt;6, AT181))</f>
        <v>0</v>
      </c>
      <c r="AV181" s="112"/>
      <c r="AW181" s="121"/>
      <c r="AX181" s="122"/>
      <c r="AY181" s="113">
        <f t="shared" ref="AY181:AY183" si="297">(AX181-AW181)*24</f>
        <v>0</v>
      </c>
      <c r="AZ181" s="81">
        <f t="shared" ref="AZ181:AZ183" si="298">IF(AY181&gt;=6, (AY181-1), IF(AY181&lt;6, AY181))</f>
        <v>0</v>
      </c>
      <c r="BA181" s="78"/>
      <c r="BB181" s="79">
        <f t="shared" ref="BB181:BB183" si="299">AA181+AF181+AK181+AP181+AU181+AZ181</f>
        <v>0</v>
      </c>
      <c r="BC181" s="115">
        <f>IF(BB181&gt;0, BB181, IF(BB181=0, L181))</f>
        <v>8.5</v>
      </c>
      <c r="BD181" s="81">
        <f>IF(BA181=1, (BC181-L181), IF(BA181=0, BC181))</f>
        <v>8.5</v>
      </c>
      <c r="BE181" s="122"/>
    </row>
    <row r="182" spans="1:57" s="31" customFormat="1" ht="17.5" customHeight="1" thickBot="1" x14ac:dyDescent="0.4">
      <c r="A182" s="241"/>
      <c r="B182" s="243"/>
      <c r="C182" s="329"/>
      <c r="D182" s="241"/>
      <c r="E182" s="51" t="s">
        <v>40</v>
      </c>
      <c r="F182" s="51" t="s">
        <v>52</v>
      </c>
      <c r="G182" s="51">
        <v>1</v>
      </c>
      <c r="H182" s="51">
        <v>1</v>
      </c>
      <c r="I182" s="108">
        <f xml:space="preserve"> SUM(G182*H182)</f>
        <v>1</v>
      </c>
      <c r="J182" s="286"/>
      <c r="K182" s="287"/>
      <c r="L182" s="54">
        <v>1</v>
      </c>
      <c r="M182" s="288"/>
      <c r="N182" s="268"/>
      <c r="O182" s="151">
        <v>1</v>
      </c>
      <c r="P182" s="120" t="s">
        <v>209</v>
      </c>
      <c r="Q182" s="111"/>
      <c r="R182" s="111"/>
      <c r="S182" s="111"/>
      <c r="T182" s="111"/>
      <c r="U182" s="118"/>
      <c r="V182" s="132" t="s">
        <v>188</v>
      </c>
      <c r="W182" s="112"/>
      <c r="X182" s="121"/>
      <c r="Y182" s="122"/>
      <c r="Z182" s="113">
        <f t="shared" si="287"/>
        <v>0</v>
      </c>
      <c r="AA182" s="81">
        <f t="shared" si="288"/>
        <v>0</v>
      </c>
      <c r="AB182" s="112"/>
      <c r="AC182" s="121"/>
      <c r="AD182" s="121"/>
      <c r="AE182" s="123">
        <f t="shared" si="289"/>
        <v>0</v>
      </c>
      <c r="AF182" s="81">
        <f t="shared" si="290"/>
        <v>0</v>
      </c>
      <c r="AG182" s="112"/>
      <c r="AH182" s="121"/>
      <c r="AI182" s="122"/>
      <c r="AJ182" s="113">
        <f t="shared" si="291"/>
        <v>0</v>
      </c>
      <c r="AK182" s="81">
        <f t="shared" si="292"/>
        <v>0</v>
      </c>
      <c r="AL182" s="112"/>
      <c r="AM182" s="121"/>
      <c r="AN182" s="122"/>
      <c r="AO182" s="113">
        <f t="shared" si="293"/>
        <v>0</v>
      </c>
      <c r="AP182" s="81">
        <f t="shared" si="294"/>
        <v>0</v>
      </c>
      <c r="AQ182" s="112"/>
      <c r="AR182" s="121"/>
      <c r="AS182" s="122"/>
      <c r="AT182" s="113">
        <f t="shared" si="295"/>
        <v>0</v>
      </c>
      <c r="AU182" s="81">
        <f t="shared" si="296"/>
        <v>0</v>
      </c>
      <c r="AV182" s="112"/>
      <c r="AW182" s="121"/>
      <c r="AX182" s="122"/>
      <c r="AY182" s="113">
        <f t="shared" si="297"/>
        <v>0</v>
      </c>
      <c r="AZ182" s="81">
        <f t="shared" si="298"/>
        <v>0</v>
      </c>
      <c r="BA182" s="78"/>
      <c r="BB182" s="79">
        <f t="shared" si="299"/>
        <v>0</v>
      </c>
      <c r="BC182" s="115">
        <f>IF(BB182&gt;0, BB182, IF(BB182=0, L182))</f>
        <v>1</v>
      </c>
      <c r="BD182" s="81">
        <f>IF(BA182=1, (BC182-L182), IF(BA182=0, BC182))</f>
        <v>1</v>
      </c>
      <c r="BE182" s="122"/>
    </row>
    <row r="183" spans="1:57" s="31" customFormat="1" ht="17.5" customHeight="1" thickBot="1" x14ac:dyDescent="0.4">
      <c r="A183" s="241"/>
      <c r="B183" s="243"/>
      <c r="C183" s="329"/>
      <c r="D183" s="241"/>
      <c r="E183" s="51" t="s">
        <v>67</v>
      </c>
      <c r="F183" s="51" t="s">
        <v>75</v>
      </c>
      <c r="G183" s="51">
        <v>2</v>
      </c>
      <c r="H183" s="51">
        <v>1</v>
      </c>
      <c r="I183" s="108">
        <f xml:space="preserve"> SUM(G183*H183)</f>
        <v>2</v>
      </c>
      <c r="J183" s="286"/>
      <c r="K183" s="287"/>
      <c r="L183" s="54">
        <v>2</v>
      </c>
      <c r="M183" s="288"/>
      <c r="N183" s="268"/>
      <c r="O183" s="151">
        <v>1</v>
      </c>
      <c r="P183" s="120" t="s">
        <v>209</v>
      </c>
      <c r="Q183" s="111"/>
      <c r="R183" s="111"/>
      <c r="S183" s="111"/>
      <c r="T183" s="111"/>
      <c r="U183" s="118"/>
      <c r="V183" s="132" t="s">
        <v>188</v>
      </c>
      <c r="W183" s="112"/>
      <c r="X183" s="121"/>
      <c r="Y183" s="122"/>
      <c r="Z183" s="113">
        <f t="shared" si="287"/>
        <v>0</v>
      </c>
      <c r="AA183" s="81">
        <f t="shared" si="288"/>
        <v>0</v>
      </c>
      <c r="AB183" s="112"/>
      <c r="AC183" s="121"/>
      <c r="AD183" s="121"/>
      <c r="AE183" s="123">
        <f t="shared" si="289"/>
        <v>0</v>
      </c>
      <c r="AF183" s="81">
        <f t="shared" si="290"/>
        <v>0</v>
      </c>
      <c r="AG183" s="112"/>
      <c r="AH183" s="121"/>
      <c r="AI183" s="122"/>
      <c r="AJ183" s="113">
        <f t="shared" si="291"/>
        <v>0</v>
      </c>
      <c r="AK183" s="81">
        <f t="shared" si="292"/>
        <v>0</v>
      </c>
      <c r="AL183" s="112"/>
      <c r="AM183" s="121"/>
      <c r="AN183" s="122"/>
      <c r="AO183" s="113">
        <f t="shared" si="293"/>
        <v>0</v>
      </c>
      <c r="AP183" s="81">
        <f t="shared" si="294"/>
        <v>0</v>
      </c>
      <c r="AQ183" s="112"/>
      <c r="AR183" s="121"/>
      <c r="AS183" s="122"/>
      <c r="AT183" s="113">
        <f t="shared" si="295"/>
        <v>0</v>
      </c>
      <c r="AU183" s="81">
        <f t="shared" si="296"/>
        <v>0</v>
      </c>
      <c r="AV183" s="112"/>
      <c r="AW183" s="121"/>
      <c r="AX183" s="122"/>
      <c r="AY183" s="113">
        <f t="shared" si="297"/>
        <v>0</v>
      </c>
      <c r="AZ183" s="81">
        <f t="shared" si="298"/>
        <v>0</v>
      </c>
      <c r="BA183" s="78"/>
      <c r="BB183" s="79">
        <f t="shared" si="299"/>
        <v>0</v>
      </c>
      <c r="BC183" s="115">
        <f>IF(BB183&gt;0, BB183, IF(BB183=0, L183))</f>
        <v>2</v>
      </c>
      <c r="BD183" s="81">
        <f>IF(BA183=1, (BC183-L183), IF(BA183=0, BC183))</f>
        <v>2</v>
      </c>
      <c r="BE183" s="122"/>
    </row>
    <row r="184" spans="1:57" s="31" customFormat="1" ht="17.5" customHeight="1" x14ac:dyDescent="0.35">
      <c r="A184" s="241"/>
      <c r="B184" s="244"/>
      <c r="C184" s="329"/>
      <c r="D184" s="241"/>
      <c r="E184" s="258" t="s">
        <v>56</v>
      </c>
      <c r="F184" s="259"/>
      <c r="G184" s="92"/>
      <c r="H184" s="141">
        <f>SUM(H181:H183)</f>
        <v>3</v>
      </c>
      <c r="I184" s="94">
        <f>SUM(I181:I183)</f>
        <v>12.5</v>
      </c>
      <c r="J184" s="286"/>
      <c r="K184" s="287"/>
      <c r="L184" s="95">
        <f>SUM(L181:L183)</f>
        <v>11.5</v>
      </c>
      <c r="M184" s="288"/>
      <c r="N184" s="269"/>
      <c r="O184" s="153"/>
      <c r="P184" s="198"/>
      <c r="Q184" s="68"/>
      <c r="R184" s="68"/>
      <c r="S184" s="68"/>
      <c r="T184" s="68"/>
      <c r="U184" s="209"/>
      <c r="V184" s="199"/>
      <c r="W184" s="200"/>
      <c r="X184" s="201"/>
      <c r="Y184" s="202"/>
      <c r="Z184" s="203"/>
      <c r="AA184" s="203"/>
      <c r="AB184" s="200"/>
      <c r="AC184" s="201"/>
      <c r="AD184" s="201"/>
      <c r="AE184" s="204"/>
      <c r="AF184" s="203"/>
      <c r="AG184" s="200"/>
      <c r="AH184" s="201"/>
      <c r="AI184" s="202"/>
      <c r="AJ184" s="203"/>
      <c r="AK184" s="203"/>
      <c r="AL184" s="200"/>
      <c r="AM184" s="201"/>
      <c r="AN184" s="202"/>
      <c r="AO184" s="203"/>
      <c r="AP184" s="203"/>
      <c r="AQ184" s="200"/>
      <c r="AR184" s="201"/>
      <c r="AS184" s="202"/>
      <c r="AT184" s="203"/>
      <c r="AU184" s="203"/>
      <c r="AV184" s="200"/>
      <c r="AW184" s="201"/>
      <c r="AX184" s="202"/>
      <c r="AY184" s="203"/>
      <c r="AZ184" s="203"/>
      <c r="BA184" s="204"/>
      <c r="BB184" s="224"/>
      <c r="BC184" s="203"/>
      <c r="BD184" s="228">
        <f>SUM(BD181:BD183)</f>
        <v>11.5</v>
      </c>
      <c r="BE184" s="202"/>
    </row>
    <row r="185" spans="1:57" s="31" customFormat="1" ht="17.5" customHeight="1" thickBot="1" x14ac:dyDescent="0.4">
      <c r="A185" s="100"/>
      <c r="B185" s="101"/>
      <c r="C185" s="102"/>
      <c r="D185" s="102"/>
      <c r="E185" s="101"/>
      <c r="F185" s="101"/>
      <c r="G185" s="101"/>
      <c r="H185" s="101"/>
      <c r="I185" s="101"/>
      <c r="J185" s="102"/>
      <c r="K185" s="103"/>
      <c r="L185" s="104"/>
      <c r="M185" s="105"/>
      <c r="N185" s="105"/>
      <c r="O185" s="99"/>
      <c r="P185" s="198"/>
      <c r="Q185" s="68"/>
      <c r="R185" s="68"/>
      <c r="S185" s="68"/>
      <c r="T185" s="68"/>
      <c r="U185" s="209"/>
      <c r="V185" s="199"/>
      <c r="W185" s="200"/>
      <c r="X185" s="201"/>
      <c r="Y185" s="202"/>
      <c r="Z185" s="194"/>
      <c r="AA185" s="203"/>
      <c r="AB185" s="200"/>
      <c r="AC185" s="201"/>
      <c r="AD185" s="201"/>
      <c r="AE185" s="206"/>
      <c r="AF185" s="203"/>
      <c r="AG185" s="200"/>
      <c r="AH185" s="201"/>
      <c r="AI185" s="202"/>
      <c r="AJ185" s="194"/>
      <c r="AK185" s="203"/>
      <c r="AL185" s="200"/>
      <c r="AM185" s="201"/>
      <c r="AN185" s="202"/>
      <c r="AO185" s="194"/>
      <c r="AP185" s="203"/>
      <c r="AQ185" s="200"/>
      <c r="AR185" s="201"/>
      <c r="AS185" s="202"/>
      <c r="AT185" s="194"/>
      <c r="AU185" s="203"/>
      <c r="AV185" s="200"/>
      <c r="AW185" s="201"/>
      <c r="AX185" s="202"/>
      <c r="AY185" s="194"/>
      <c r="AZ185" s="203"/>
      <c r="BA185" s="206"/>
      <c r="BB185" s="224"/>
      <c r="BC185" s="194"/>
      <c r="BD185" s="208"/>
      <c r="BE185" s="202"/>
    </row>
    <row r="186" spans="1:57" s="31" customFormat="1" ht="17.5" customHeight="1" x14ac:dyDescent="0.35">
      <c r="A186" s="241">
        <v>15</v>
      </c>
      <c r="B186" s="242" t="s">
        <v>36</v>
      </c>
      <c r="C186" s="329" t="s">
        <v>210</v>
      </c>
      <c r="D186" s="241" t="s">
        <v>179</v>
      </c>
      <c r="E186" s="289" t="s">
        <v>39</v>
      </c>
      <c r="F186" s="292" t="s">
        <v>58</v>
      </c>
      <c r="G186" s="341">
        <v>9</v>
      </c>
      <c r="H186" s="341">
        <v>2</v>
      </c>
      <c r="I186" s="281">
        <f xml:space="preserve"> SUM(G186*H186)</f>
        <v>18</v>
      </c>
      <c r="J186" s="295">
        <f xml:space="preserve"> I188/8</f>
        <v>2.25</v>
      </c>
      <c r="K186" s="287" t="s">
        <v>41</v>
      </c>
      <c r="L186" s="54">
        <v>8</v>
      </c>
      <c r="M186" s="288">
        <f>L188/8</f>
        <v>2</v>
      </c>
      <c r="N186" s="288">
        <f>SUM(BD186:BD187)/8</f>
        <v>2</v>
      </c>
      <c r="O186" s="148">
        <v>1</v>
      </c>
      <c r="P186" s="82" t="s">
        <v>211</v>
      </c>
      <c r="Q186" s="57">
        <v>0.33333333333333331</v>
      </c>
      <c r="R186" s="57">
        <v>0.70833333333333337</v>
      </c>
      <c r="S186" s="57">
        <v>0.33333333333333331</v>
      </c>
      <c r="T186" s="57">
        <v>0.5</v>
      </c>
      <c r="U186" s="118"/>
      <c r="V186" s="58" t="s">
        <v>43</v>
      </c>
      <c r="W186" s="59"/>
      <c r="X186" s="83"/>
      <c r="Y186" s="65"/>
      <c r="Z186" s="29">
        <f t="shared" ref="Z186:Z187" si="300">(Y186-X186)*24</f>
        <v>0</v>
      </c>
      <c r="AA186" s="64">
        <f t="shared" ref="AA186:AA187" si="301">IF(Z186&gt;=6, (Z186-1), IF(Z186&lt;6, Z186))</f>
        <v>0</v>
      </c>
      <c r="AB186" s="59"/>
      <c r="AC186" s="83"/>
      <c r="AD186" s="83"/>
      <c r="AE186" s="62">
        <f t="shared" ref="AE186:AE187" si="302">(AD186-AC186)*24</f>
        <v>0</v>
      </c>
      <c r="AF186" s="64">
        <f t="shared" ref="AF186:AF187" si="303">IF(AE186&gt;=6, (AE186-1), IF(AE186&lt;6, AE186))</f>
        <v>0</v>
      </c>
      <c r="AG186" s="59"/>
      <c r="AH186" s="83"/>
      <c r="AI186" s="65"/>
      <c r="AJ186" s="29">
        <f t="shared" ref="AJ186:AJ187" si="304">(AI186-AH186)*24</f>
        <v>0</v>
      </c>
      <c r="AK186" s="64">
        <f t="shared" ref="AK186:AK187" si="305">IF(AJ186&gt;=6, (AJ186-1), IF(AJ186&lt;6, AJ186))</f>
        <v>0</v>
      </c>
      <c r="AL186" s="59"/>
      <c r="AM186" s="83"/>
      <c r="AN186" s="65"/>
      <c r="AO186" s="29">
        <f t="shared" ref="AO186:AO187" si="306">(AN186-AM186)*24</f>
        <v>0</v>
      </c>
      <c r="AP186" s="64">
        <f t="shared" ref="AP186:AP187" si="307">IF(AO186&gt;=6, (AO186-1), IF(AO186&lt;6, AO186))</f>
        <v>0</v>
      </c>
      <c r="AQ186" s="59"/>
      <c r="AR186" s="83"/>
      <c r="AS186" s="65"/>
      <c r="AT186" s="29">
        <f t="shared" ref="AT186:AT187" si="308">(AS186-AR186)*24</f>
        <v>0</v>
      </c>
      <c r="AU186" s="64">
        <f t="shared" ref="AU186:AU187" si="309">IF(AT186&gt;=6, (AT186-1), IF(AT186&lt;6, AT186))</f>
        <v>0</v>
      </c>
      <c r="AV186" s="59"/>
      <c r="AW186" s="83"/>
      <c r="AX186" s="65"/>
      <c r="AY186" s="29">
        <f t="shared" ref="AY186:AY187" si="310">(AX186-AW186)*24</f>
        <v>0</v>
      </c>
      <c r="AZ186" s="64">
        <f t="shared" ref="AZ186:AZ187" si="311">IF(AY186&gt;=6, (AY186-1), IF(AY186&lt;6, AY186))</f>
        <v>0</v>
      </c>
      <c r="BA186" s="229"/>
      <c r="BB186" s="232">
        <f t="shared" ref="BB186:BB190" si="312">AA186+AF186+AK186+AP186+AU186+AZ186</f>
        <v>0</v>
      </c>
      <c r="BC186" s="13">
        <f>IF(BB186&gt;0, BB186, IF(BB186=0, L186))</f>
        <v>8</v>
      </c>
      <c r="BD186" s="64">
        <f>IF(BA186=1, (BC186-L186), IF(BA186=0, BC186))</f>
        <v>8</v>
      </c>
      <c r="BE186" s="65"/>
    </row>
    <row r="187" spans="1:57" s="31" customFormat="1" ht="17.5" customHeight="1" thickBot="1" x14ac:dyDescent="0.4">
      <c r="A187" s="241"/>
      <c r="B187" s="243"/>
      <c r="C187" s="329"/>
      <c r="D187" s="241"/>
      <c r="E187" s="291"/>
      <c r="F187" s="294"/>
      <c r="G187" s="342"/>
      <c r="H187" s="342"/>
      <c r="I187" s="283"/>
      <c r="J187" s="295"/>
      <c r="K187" s="287"/>
      <c r="L187" s="54">
        <v>8</v>
      </c>
      <c r="M187" s="288"/>
      <c r="N187" s="288"/>
      <c r="O187" s="150">
        <v>2</v>
      </c>
      <c r="P187" s="85" t="s">
        <v>212</v>
      </c>
      <c r="Q187" s="86">
        <v>0.33333333333333331</v>
      </c>
      <c r="R187" s="86">
        <v>0.70833333333333337</v>
      </c>
      <c r="S187" s="86">
        <v>0.33333333333333331</v>
      </c>
      <c r="T187" s="86">
        <v>0.5</v>
      </c>
      <c r="U187" s="118"/>
      <c r="V187" s="88" t="s">
        <v>73</v>
      </c>
      <c r="W187" s="89"/>
      <c r="X187" s="90"/>
      <c r="Y187" s="91"/>
      <c r="Z187" s="77">
        <f t="shared" si="300"/>
        <v>0</v>
      </c>
      <c r="AA187" s="81">
        <f t="shared" si="301"/>
        <v>0</v>
      </c>
      <c r="AB187" s="89"/>
      <c r="AC187" s="90"/>
      <c r="AD187" s="90"/>
      <c r="AE187" s="78">
        <f t="shared" si="302"/>
        <v>0</v>
      </c>
      <c r="AF187" s="81">
        <f t="shared" si="303"/>
        <v>0</v>
      </c>
      <c r="AG187" s="89"/>
      <c r="AH187" s="90"/>
      <c r="AI187" s="91"/>
      <c r="AJ187" s="77">
        <f t="shared" si="304"/>
        <v>0</v>
      </c>
      <c r="AK187" s="81">
        <f t="shared" si="305"/>
        <v>0</v>
      </c>
      <c r="AL187" s="89"/>
      <c r="AM187" s="90"/>
      <c r="AN187" s="91"/>
      <c r="AO187" s="77">
        <f t="shared" si="306"/>
        <v>0</v>
      </c>
      <c r="AP187" s="81">
        <f t="shared" si="307"/>
        <v>0</v>
      </c>
      <c r="AQ187" s="89"/>
      <c r="AR187" s="90"/>
      <c r="AS187" s="91"/>
      <c r="AT187" s="77">
        <f t="shared" si="308"/>
        <v>0</v>
      </c>
      <c r="AU187" s="81">
        <f t="shared" si="309"/>
        <v>0</v>
      </c>
      <c r="AV187" s="89"/>
      <c r="AW187" s="90"/>
      <c r="AX187" s="91"/>
      <c r="AY187" s="77">
        <f t="shared" si="310"/>
        <v>0</v>
      </c>
      <c r="AZ187" s="81">
        <f t="shared" si="311"/>
        <v>0</v>
      </c>
      <c r="BA187" s="78"/>
      <c r="BB187" s="233">
        <f t="shared" si="312"/>
        <v>0</v>
      </c>
      <c r="BC187" s="80">
        <f>IF(BB187&gt;0, BB187, IF(BB187=0, L187))</f>
        <v>8</v>
      </c>
      <c r="BD187" s="81">
        <f>IF(BA187=1, (BC187-L187), IF(BA187=0, BC187))</f>
        <v>8</v>
      </c>
      <c r="BE187" s="91"/>
    </row>
    <row r="188" spans="1:57" s="31" customFormat="1" ht="17.5" customHeight="1" thickBot="1" x14ac:dyDescent="0.4">
      <c r="A188" s="241"/>
      <c r="B188" s="243"/>
      <c r="C188" s="329"/>
      <c r="D188" s="241"/>
      <c r="E188" s="258" t="s">
        <v>56</v>
      </c>
      <c r="F188" s="259"/>
      <c r="G188" s="92"/>
      <c r="H188" s="141">
        <f>SUM(H186)</f>
        <v>2</v>
      </c>
      <c r="I188" s="168">
        <f>SUM(I186)</f>
        <v>18</v>
      </c>
      <c r="J188" s="295"/>
      <c r="K188" s="287"/>
      <c r="L188" s="95">
        <f>SUM(L186:L187)</f>
        <v>16</v>
      </c>
      <c r="M188" s="288"/>
      <c r="N188" s="288"/>
      <c r="O188" s="153"/>
      <c r="P188" s="198"/>
      <c r="Q188" s="68"/>
      <c r="R188" s="68"/>
      <c r="S188" s="68"/>
      <c r="T188" s="68"/>
      <c r="U188" s="209"/>
      <c r="V188" s="199"/>
      <c r="W188" s="200"/>
      <c r="X188" s="201"/>
      <c r="Y188" s="202"/>
      <c r="Z188" s="197"/>
      <c r="AA188" s="203"/>
      <c r="AB188" s="200"/>
      <c r="AC188" s="201"/>
      <c r="AD188" s="201"/>
      <c r="AE188" s="195"/>
      <c r="AF188" s="203"/>
      <c r="AG188" s="200"/>
      <c r="AH188" s="201"/>
      <c r="AI188" s="202"/>
      <c r="AJ188" s="197"/>
      <c r="AK188" s="203"/>
      <c r="AL188" s="200"/>
      <c r="AM188" s="201"/>
      <c r="AN188" s="202"/>
      <c r="AO188" s="197"/>
      <c r="AP188" s="203"/>
      <c r="AQ188" s="200"/>
      <c r="AR188" s="201"/>
      <c r="AS188" s="202"/>
      <c r="AT188" s="197"/>
      <c r="AU188" s="203"/>
      <c r="AV188" s="200"/>
      <c r="AW188" s="201"/>
      <c r="AX188" s="202"/>
      <c r="AY188" s="197"/>
      <c r="AZ188" s="203"/>
      <c r="BA188" s="206"/>
      <c r="BB188" s="225"/>
      <c r="BC188" s="197"/>
      <c r="BD188" s="228">
        <f>SUM(BD186:BD187)</f>
        <v>16</v>
      </c>
      <c r="BE188" s="202"/>
    </row>
    <row r="189" spans="1:57" s="31" customFormat="1" ht="17.5" customHeight="1" thickBot="1" x14ac:dyDescent="0.4">
      <c r="A189" s="241"/>
      <c r="B189" s="243"/>
      <c r="C189" s="329"/>
      <c r="D189" s="241"/>
      <c r="E189" s="343" t="s">
        <v>39</v>
      </c>
      <c r="F189" s="321" t="s">
        <v>40</v>
      </c>
      <c r="G189" s="345">
        <v>4</v>
      </c>
      <c r="H189" s="345">
        <v>2</v>
      </c>
      <c r="I189" s="347">
        <v>8</v>
      </c>
      <c r="J189" s="326">
        <f xml:space="preserve"> I191/8</f>
        <v>1</v>
      </c>
      <c r="K189" s="327" t="s">
        <v>57</v>
      </c>
      <c r="L189" s="162">
        <v>4</v>
      </c>
      <c r="M189" s="328">
        <f>L191/8</f>
        <v>1</v>
      </c>
      <c r="N189" s="328">
        <f>SUM(BD189:BD190)/8</f>
        <v>1</v>
      </c>
      <c r="O189" s="151">
        <v>1</v>
      </c>
      <c r="P189" s="120" t="s">
        <v>211</v>
      </c>
      <c r="Q189" s="57">
        <v>0.33333333333333331</v>
      </c>
      <c r="R189" s="57">
        <v>0.5</v>
      </c>
      <c r="S189" s="57"/>
      <c r="T189" s="57"/>
      <c r="U189" s="118"/>
      <c r="V189" s="58" t="s">
        <v>43</v>
      </c>
      <c r="W189" s="59"/>
      <c r="X189" s="83"/>
      <c r="Y189" s="65"/>
      <c r="Z189" s="29">
        <f t="shared" ref="Z189:Z190" si="313">(Y189-X189)*24</f>
        <v>0</v>
      </c>
      <c r="AA189" s="64">
        <f t="shared" ref="AA189:AA190" si="314">IF(Z189&gt;=6, (Z189-1), IF(Z189&lt;6, Z189))</f>
        <v>0</v>
      </c>
      <c r="AB189" s="59"/>
      <c r="AC189" s="83"/>
      <c r="AD189" s="83"/>
      <c r="AE189" s="62">
        <f t="shared" ref="AE189:AE190" si="315">(AD189-AC189)*24</f>
        <v>0</v>
      </c>
      <c r="AF189" s="64">
        <f t="shared" ref="AF189:AF190" si="316">IF(AE189&gt;=6, (AE189-1), IF(AE189&lt;6, AE189))</f>
        <v>0</v>
      </c>
      <c r="AG189" s="59"/>
      <c r="AH189" s="83"/>
      <c r="AI189" s="65"/>
      <c r="AJ189" s="29">
        <f t="shared" ref="AJ189:AJ190" si="317">(AI189-AH189)*24</f>
        <v>0</v>
      </c>
      <c r="AK189" s="64">
        <f t="shared" ref="AK189:AK190" si="318">IF(AJ189&gt;=6, (AJ189-1), IF(AJ189&lt;6, AJ189))</f>
        <v>0</v>
      </c>
      <c r="AL189" s="59"/>
      <c r="AM189" s="83"/>
      <c r="AN189" s="65"/>
      <c r="AO189" s="29">
        <f t="shared" ref="AO189:AO190" si="319">(AN189-AM189)*24</f>
        <v>0</v>
      </c>
      <c r="AP189" s="64">
        <f t="shared" ref="AP189:AP190" si="320">IF(AO189&gt;=6, (AO189-1), IF(AO189&lt;6, AO189))</f>
        <v>0</v>
      </c>
      <c r="AQ189" s="59"/>
      <c r="AR189" s="83"/>
      <c r="AS189" s="65"/>
      <c r="AT189" s="29">
        <f t="shared" ref="AT189:AT190" si="321">(AS189-AR189)*24</f>
        <v>0</v>
      </c>
      <c r="AU189" s="64">
        <f t="shared" ref="AU189:AU190" si="322">IF(AT189&gt;=6, (AT189-1), IF(AT189&lt;6, AT189))</f>
        <v>0</v>
      </c>
      <c r="AV189" s="59"/>
      <c r="AW189" s="83"/>
      <c r="AX189" s="65"/>
      <c r="AY189" s="29">
        <f t="shared" ref="AY189:AY190" si="323">(AX189-AW189)*24</f>
        <v>0</v>
      </c>
      <c r="AZ189" s="64">
        <f t="shared" ref="AZ189:AZ190" si="324">IF(AY189&gt;=6, (AY189-1), IF(AY189&lt;6, AY189))</f>
        <v>0</v>
      </c>
      <c r="BA189" s="62"/>
      <c r="BB189" s="232">
        <f t="shared" si="312"/>
        <v>0</v>
      </c>
      <c r="BC189" s="13">
        <f>IF(BB189&gt;0, BB189, IF(BB189=0, L189))</f>
        <v>4</v>
      </c>
      <c r="BD189" s="64">
        <f>IF(BA189=1, (BC189-L189), IF(BA189=0, BC189))</f>
        <v>4</v>
      </c>
      <c r="BE189" s="65"/>
    </row>
    <row r="190" spans="1:57" s="31" customFormat="1" ht="17.5" customHeight="1" thickBot="1" x14ac:dyDescent="0.4">
      <c r="A190" s="241"/>
      <c r="B190" s="243"/>
      <c r="C190" s="329"/>
      <c r="D190" s="241"/>
      <c r="E190" s="344"/>
      <c r="F190" s="323"/>
      <c r="G190" s="346"/>
      <c r="H190" s="346"/>
      <c r="I190" s="348"/>
      <c r="J190" s="326"/>
      <c r="K190" s="327"/>
      <c r="L190" s="162">
        <v>4</v>
      </c>
      <c r="M190" s="328"/>
      <c r="N190" s="328"/>
      <c r="O190" s="151">
        <v>2</v>
      </c>
      <c r="P190" s="110" t="s">
        <v>212</v>
      </c>
      <c r="Q190" s="86">
        <v>0.33333333333333331</v>
      </c>
      <c r="R190" s="86">
        <v>0.5</v>
      </c>
      <c r="S190" s="86"/>
      <c r="T190" s="86"/>
      <c r="U190" s="118"/>
      <c r="V190" s="88" t="s">
        <v>73</v>
      </c>
      <c r="W190" s="89"/>
      <c r="X190" s="90"/>
      <c r="Y190" s="91"/>
      <c r="Z190" s="77">
        <f t="shared" si="313"/>
        <v>0</v>
      </c>
      <c r="AA190" s="81">
        <f t="shared" si="314"/>
        <v>0</v>
      </c>
      <c r="AB190" s="89"/>
      <c r="AC190" s="90"/>
      <c r="AD190" s="90"/>
      <c r="AE190" s="78">
        <f t="shared" si="315"/>
        <v>0</v>
      </c>
      <c r="AF190" s="81">
        <f t="shared" si="316"/>
        <v>0</v>
      </c>
      <c r="AG190" s="89"/>
      <c r="AH190" s="90"/>
      <c r="AI190" s="91"/>
      <c r="AJ190" s="77">
        <f t="shared" si="317"/>
        <v>0</v>
      </c>
      <c r="AK190" s="81">
        <f t="shared" si="318"/>
        <v>0</v>
      </c>
      <c r="AL190" s="89"/>
      <c r="AM190" s="90"/>
      <c r="AN190" s="91"/>
      <c r="AO190" s="77">
        <f t="shared" si="319"/>
        <v>0</v>
      </c>
      <c r="AP190" s="81">
        <f t="shared" si="320"/>
        <v>0</v>
      </c>
      <c r="AQ190" s="89"/>
      <c r="AR190" s="90"/>
      <c r="AS190" s="91"/>
      <c r="AT190" s="77">
        <f t="shared" si="321"/>
        <v>0</v>
      </c>
      <c r="AU190" s="81">
        <f t="shared" si="322"/>
        <v>0</v>
      </c>
      <c r="AV190" s="89"/>
      <c r="AW190" s="90"/>
      <c r="AX190" s="91"/>
      <c r="AY190" s="77">
        <f t="shared" si="323"/>
        <v>0</v>
      </c>
      <c r="AZ190" s="81">
        <f t="shared" si="324"/>
        <v>0</v>
      </c>
      <c r="BA190" s="78"/>
      <c r="BB190" s="233">
        <f t="shared" si="312"/>
        <v>0</v>
      </c>
      <c r="BC190" s="80">
        <f>IF(BB190&gt;0, BB190, IF(BB190=0, L190))</f>
        <v>4</v>
      </c>
      <c r="BD190" s="81">
        <f>IF(BA190=1, (BC190-L190), IF(BA190=0, BC190))</f>
        <v>4</v>
      </c>
      <c r="BE190" s="91"/>
    </row>
    <row r="191" spans="1:57" s="31" customFormat="1" ht="17.5" customHeight="1" x14ac:dyDescent="0.35">
      <c r="A191" s="241"/>
      <c r="B191" s="244"/>
      <c r="C191" s="329"/>
      <c r="D191" s="241"/>
      <c r="E191" s="258" t="s">
        <v>60</v>
      </c>
      <c r="F191" s="259"/>
      <c r="G191" s="92"/>
      <c r="H191" s="141">
        <f xml:space="preserve"> H189</f>
        <v>2</v>
      </c>
      <c r="I191" s="168">
        <f>SUM(I189)</f>
        <v>8</v>
      </c>
      <c r="J191" s="326"/>
      <c r="K191" s="327"/>
      <c r="L191" s="95">
        <f>SUM(L189:L190)</f>
        <v>8</v>
      </c>
      <c r="M191" s="328"/>
      <c r="N191" s="328"/>
      <c r="O191" s="153"/>
      <c r="P191" s="198"/>
      <c r="Q191" s="68"/>
      <c r="R191" s="68"/>
      <c r="S191" s="68"/>
      <c r="T191" s="68"/>
      <c r="U191" s="209"/>
      <c r="V191" s="199"/>
      <c r="W191" s="200"/>
      <c r="X191" s="201"/>
      <c r="Y191" s="202"/>
      <c r="Z191" s="203"/>
      <c r="AA191" s="203"/>
      <c r="AB191" s="200"/>
      <c r="AC191" s="201"/>
      <c r="AD191" s="201"/>
      <c r="AE191" s="204"/>
      <c r="AF191" s="203"/>
      <c r="AG191" s="200"/>
      <c r="AH191" s="201"/>
      <c r="AI191" s="202"/>
      <c r="AJ191" s="203"/>
      <c r="AK191" s="203"/>
      <c r="AL191" s="200"/>
      <c r="AM191" s="201"/>
      <c r="AN191" s="202"/>
      <c r="AO191" s="203"/>
      <c r="AP191" s="203"/>
      <c r="AQ191" s="200"/>
      <c r="AR191" s="201"/>
      <c r="AS191" s="202"/>
      <c r="AT191" s="203"/>
      <c r="AU191" s="203"/>
      <c r="AV191" s="200"/>
      <c r="AW191" s="201"/>
      <c r="AX191" s="202"/>
      <c r="AY191" s="203"/>
      <c r="AZ191" s="203"/>
      <c r="BA191" s="204"/>
      <c r="BB191" s="224"/>
      <c r="BC191" s="203"/>
      <c r="BD191" s="228">
        <f>SUM(BD189:BD190)</f>
        <v>8</v>
      </c>
      <c r="BE191" s="202"/>
    </row>
    <row r="192" spans="1:57" s="31" customFormat="1" ht="17.5" customHeight="1" thickBot="1" x14ac:dyDescent="0.4">
      <c r="A192" s="100"/>
      <c r="B192" s="101"/>
      <c r="C192" s="102"/>
      <c r="D192" s="102"/>
      <c r="E192" s="101"/>
      <c r="F192" s="101"/>
      <c r="G192" s="101"/>
      <c r="H192" s="101"/>
      <c r="I192" s="101"/>
      <c r="J192" s="102"/>
      <c r="K192" s="103"/>
      <c r="L192" s="104"/>
      <c r="M192" s="105"/>
      <c r="N192" s="105"/>
      <c r="O192" s="99"/>
      <c r="P192" s="198"/>
      <c r="Q192" s="68"/>
      <c r="R192" s="68"/>
      <c r="S192" s="68"/>
      <c r="T192" s="68"/>
      <c r="U192" s="209"/>
      <c r="V192" s="199"/>
      <c r="W192" s="200"/>
      <c r="X192" s="201"/>
      <c r="Y192" s="202"/>
      <c r="Z192" s="203"/>
      <c r="AA192" s="203"/>
      <c r="AB192" s="200"/>
      <c r="AC192" s="201"/>
      <c r="AD192" s="201"/>
      <c r="AE192" s="204"/>
      <c r="AF192" s="203"/>
      <c r="AG192" s="200"/>
      <c r="AH192" s="201"/>
      <c r="AI192" s="202"/>
      <c r="AJ192" s="203"/>
      <c r="AK192" s="203"/>
      <c r="AL192" s="200"/>
      <c r="AM192" s="201"/>
      <c r="AN192" s="202"/>
      <c r="AO192" s="203"/>
      <c r="AP192" s="203"/>
      <c r="AQ192" s="200"/>
      <c r="AR192" s="201"/>
      <c r="AS192" s="202"/>
      <c r="AT192" s="203"/>
      <c r="AU192" s="203"/>
      <c r="AV192" s="200"/>
      <c r="AW192" s="201"/>
      <c r="AX192" s="202"/>
      <c r="AY192" s="203"/>
      <c r="AZ192" s="203"/>
      <c r="BA192" s="206"/>
      <c r="BB192" s="223"/>
      <c r="BC192" s="194"/>
      <c r="BD192" s="208"/>
      <c r="BE192" s="202"/>
    </row>
    <row r="193" spans="1:57" s="31" customFormat="1" ht="16" thickBot="1" x14ac:dyDescent="0.4">
      <c r="A193" s="241">
        <v>16</v>
      </c>
      <c r="B193" s="242" t="s">
        <v>36</v>
      </c>
      <c r="C193" s="329" t="s">
        <v>213</v>
      </c>
      <c r="D193" s="241" t="s">
        <v>62</v>
      </c>
      <c r="E193" s="138" t="s">
        <v>214</v>
      </c>
      <c r="F193" s="169" t="s">
        <v>58</v>
      </c>
      <c r="G193" s="169">
        <v>9</v>
      </c>
      <c r="H193" s="138">
        <v>1</v>
      </c>
      <c r="I193" s="170">
        <v>9</v>
      </c>
      <c r="J193" s="295">
        <f xml:space="preserve"> I196/8</f>
        <v>2.125</v>
      </c>
      <c r="K193" s="287" t="s">
        <v>41</v>
      </c>
      <c r="L193" s="54">
        <v>8</v>
      </c>
      <c r="M193" s="288">
        <f>L196/8</f>
        <v>1.875</v>
      </c>
      <c r="N193" s="288">
        <f>SUM(BD193:BD195)/8</f>
        <v>1.875</v>
      </c>
      <c r="O193" s="151">
        <v>1</v>
      </c>
      <c r="P193" s="110" t="s">
        <v>215</v>
      </c>
      <c r="Q193" s="111">
        <v>0.33333333333333331</v>
      </c>
      <c r="R193" s="111">
        <v>0.66666666666666663</v>
      </c>
      <c r="S193" s="111">
        <v>0.33333333333333331</v>
      </c>
      <c r="T193" s="111">
        <v>4.1666666666666664E-2</v>
      </c>
      <c r="U193" s="118"/>
      <c r="V193" s="132" t="s">
        <v>69</v>
      </c>
      <c r="W193" s="112"/>
      <c r="X193" s="121"/>
      <c r="Y193" s="122"/>
      <c r="Z193" s="113">
        <f t="shared" ref="Z193:Z195" si="325">(Y193-X193)*24</f>
        <v>0</v>
      </c>
      <c r="AA193" s="81">
        <f t="shared" ref="AA193:AA195" si="326">IF(Z193&gt;=6, (Z193-1), IF(Z193&lt;6, Z193))</f>
        <v>0</v>
      </c>
      <c r="AB193" s="112"/>
      <c r="AC193" s="121"/>
      <c r="AD193" s="121"/>
      <c r="AE193" s="123">
        <f t="shared" ref="AE193:AE195" si="327">(AD193-AC193)*24</f>
        <v>0</v>
      </c>
      <c r="AF193" s="81">
        <f t="shared" ref="AF193:AF195" si="328">IF(AE193&gt;=6, (AE193-1), IF(AE193&lt;6, AE193))</f>
        <v>0</v>
      </c>
      <c r="AG193" s="112"/>
      <c r="AH193" s="121"/>
      <c r="AI193" s="122"/>
      <c r="AJ193" s="113">
        <f t="shared" ref="AJ193:AJ195" si="329">(AI193-AH193)*24</f>
        <v>0</v>
      </c>
      <c r="AK193" s="81">
        <f t="shared" ref="AK193:AK195" si="330">IF(AJ193&gt;=6, (AJ193-1), IF(AJ193&lt;6, AJ193))</f>
        <v>0</v>
      </c>
      <c r="AL193" s="112"/>
      <c r="AM193" s="121"/>
      <c r="AN193" s="122"/>
      <c r="AO193" s="113">
        <f t="shared" ref="AO193:AO195" si="331">(AN193-AM193)*24</f>
        <v>0</v>
      </c>
      <c r="AP193" s="81">
        <f t="shared" ref="AP193:AP195" si="332">IF(AO193&gt;=6, (AO193-1), IF(AO193&lt;6, AO193))</f>
        <v>0</v>
      </c>
      <c r="AQ193" s="112"/>
      <c r="AR193" s="121"/>
      <c r="AS193" s="122"/>
      <c r="AT193" s="113">
        <f t="shared" ref="AT193:AT195" si="333">(AS193-AR193)*24</f>
        <v>0</v>
      </c>
      <c r="AU193" s="81">
        <f t="shared" ref="AU193:AU195" si="334">IF(AT193&gt;=6, (AT193-1), IF(AT193&lt;6, AT193))</f>
        <v>0</v>
      </c>
      <c r="AV193" s="112"/>
      <c r="AW193" s="121"/>
      <c r="AX193" s="122"/>
      <c r="AY193" s="113">
        <f t="shared" ref="AY193:AY195" si="335">(AX193-AW193)*24</f>
        <v>0</v>
      </c>
      <c r="AZ193" s="81">
        <f t="shared" ref="AZ193:AZ195" si="336">IF(AY193&gt;=6, (AY193-1), IF(AY193&lt;6, AY193))</f>
        <v>0</v>
      </c>
      <c r="BA193" s="78"/>
      <c r="BB193" s="79">
        <f t="shared" ref="BB193:BB195" si="337">AA193+AF193+AK193+AP193+AU193+AZ193</f>
        <v>0</v>
      </c>
      <c r="BC193" s="115">
        <f>IF(BB193&gt;0, BB193, IF(BB193=0, L193))</f>
        <v>8</v>
      </c>
      <c r="BD193" s="81">
        <f>IF(BA193=1, (BC193-L193), IF(BA193=0, BC193))</f>
        <v>8</v>
      </c>
      <c r="BE193" s="122"/>
    </row>
    <row r="194" spans="1:57" s="31" customFormat="1" ht="17.5" customHeight="1" thickBot="1" x14ac:dyDescent="0.4">
      <c r="A194" s="241"/>
      <c r="B194" s="243"/>
      <c r="C194" s="329"/>
      <c r="D194" s="241"/>
      <c r="E194" s="138" t="s">
        <v>214</v>
      </c>
      <c r="F194" s="138" t="s">
        <v>92</v>
      </c>
      <c r="G194" s="138">
        <v>7</v>
      </c>
      <c r="H194" s="138">
        <v>1</v>
      </c>
      <c r="I194" s="139">
        <v>7</v>
      </c>
      <c r="J194" s="295"/>
      <c r="K194" s="287"/>
      <c r="L194" s="54">
        <v>6</v>
      </c>
      <c r="M194" s="288"/>
      <c r="N194" s="288"/>
      <c r="O194" s="151">
        <v>1</v>
      </c>
      <c r="P194" s="110" t="s">
        <v>216</v>
      </c>
      <c r="Q194" s="86">
        <v>0.33333333333333331</v>
      </c>
      <c r="R194" s="86">
        <v>0.70833333333333337</v>
      </c>
      <c r="S194" s="86"/>
      <c r="T194" s="86"/>
      <c r="U194" s="118"/>
      <c r="V194" s="88" t="s">
        <v>193</v>
      </c>
      <c r="W194" s="89"/>
      <c r="X194" s="90"/>
      <c r="Y194" s="91"/>
      <c r="Z194" s="113">
        <f t="shared" si="325"/>
        <v>0</v>
      </c>
      <c r="AA194" s="81">
        <f t="shared" si="326"/>
        <v>0</v>
      </c>
      <c r="AB194" s="89"/>
      <c r="AC194" s="90"/>
      <c r="AD194" s="90"/>
      <c r="AE194" s="123">
        <f t="shared" si="327"/>
        <v>0</v>
      </c>
      <c r="AF194" s="81">
        <f t="shared" si="328"/>
        <v>0</v>
      </c>
      <c r="AG194" s="89"/>
      <c r="AH194" s="90"/>
      <c r="AI194" s="91"/>
      <c r="AJ194" s="113">
        <f t="shared" si="329"/>
        <v>0</v>
      </c>
      <c r="AK194" s="81">
        <f t="shared" si="330"/>
        <v>0</v>
      </c>
      <c r="AL194" s="89"/>
      <c r="AM194" s="90"/>
      <c r="AN194" s="91"/>
      <c r="AO194" s="113">
        <f t="shared" si="331"/>
        <v>0</v>
      </c>
      <c r="AP194" s="81">
        <f t="shared" si="332"/>
        <v>0</v>
      </c>
      <c r="AQ194" s="89"/>
      <c r="AR194" s="90"/>
      <c r="AS194" s="91"/>
      <c r="AT194" s="113">
        <f t="shared" si="333"/>
        <v>0</v>
      </c>
      <c r="AU194" s="81">
        <f t="shared" si="334"/>
        <v>0</v>
      </c>
      <c r="AV194" s="89"/>
      <c r="AW194" s="90"/>
      <c r="AX194" s="91"/>
      <c r="AY194" s="113">
        <f t="shared" si="335"/>
        <v>0</v>
      </c>
      <c r="AZ194" s="81">
        <f t="shared" si="336"/>
        <v>0</v>
      </c>
      <c r="BA194" s="78"/>
      <c r="BB194" s="79">
        <f t="shared" si="337"/>
        <v>0</v>
      </c>
      <c r="BC194" s="115">
        <f>IF(BB194&gt;0, BB194, IF(BB194=0, L194))</f>
        <v>6</v>
      </c>
      <c r="BD194" s="81">
        <f>IF(BA194=1, (BC194-L194), IF(BA194=0, BC194))</f>
        <v>6</v>
      </c>
      <c r="BE194" s="91"/>
    </row>
    <row r="195" spans="1:57" s="31" customFormat="1" ht="17.5" customHeight="1" thickBot="1" x14ac:dyDescent="0.4">
      <c r="A195" s="241"/>
      <c r="B195" s="243"/>
      <c r="C195" s="329"/>
      <c r="D195" s="241"/>
      <c r="E195" s="51" t="s">
        <v>92</v>
      </c>
      <c r="F195" s="169" t="s">
        <v>67</v>
      </c>
      <c r="G195" s="169">
        <v>1</v>
      </c>
      <c r="H195" s="51">
        <v>1</v>
      </c>
      <c r="I195" s="170">
        <v>1</v>
      </c>
      <c r="J195" s="295"/>
      <c r="K195" s="287"/>
      <c r="L195" s="54">
        <v>1</v>
      </c>
      <c r="M195" s="288"/>
      <c r="N195" s="288"/>
      <c r="O195" s="151">
        <v>1</v>
      </c>
      <c r="P195" s="110" t="s">
        <v>216</v>
      </c>
      <c r="Q195" s="86">
        <v>0.33333333333333331</v>
      </c>
      <c r="R195" s="86">
        <v>0.70833333333333337</v>
      </c>
      <c r="S195" s="111"/>
      <c r="T195" s="111"/>
      <c r="U195" s="118"/>
      <c r="V195" s="132" t="s">
        <v>193</v>
      </c>
      <c r="W195" s="112"/>
      <c r="X195" s="121"/>
      <c r="Y195" s="122"/>
      <c r="Z195" s="113">
        <f t="shared" si="325"/>
        <v>0</v>
      </c>
      <c r="AA195" s="81">
        <f t="shared" si="326"/>
        <v>0</v>
      </c>
      <c r="AB195" s="112"/>
      <c r="AC195" s="121"/>
      <c r="AD195" s="121"/>
      <c r="AE195" s="123">
        <f t="shared" si="327"/>
        <v>0</v>
      </c>
      <c r="AF195" s="81">
        <f t="shared" si="328"/>
        <v>0</v>
      </c>
      <c r="AG195" s="112"/>
      <c r="AH195" s="121"/>
      <c r="AI195" s="122"/>
      <c r="AJ195" s="113">
        <f t="shared" si="329"/>
        <v>0</v>
      </c>
      <c r="AK195" s="81">
        <f t="shared" si="330"/>
        <v>0</v>
      </c>
      <c r="AL195" s="112"/>
      <c r="AM195" s="121"/>
      <c r="AN195" s="122"/>
      <c r="AO195" s="113">
        <f t="shared" si="331"/>
        <v>0</v>
      </c>
      <c r="AP195" s="81">
        <f t="shared" si="332"/>
        <v>0</v>
      </c>
      <c r="AQ195" s="112"/>
      <c r="AR195" s="121"/>
      <c r="AS195" s="122"/>
      <c r="AT195" s="113">
        <f t="shared" si="333"/>
        <v>0</v>
      </c>
      <c r="AU195" s="81">
        <f t="shared" si="334"/>
        <v>0</v>
      </c>
      <c r="AV195" s="112"/>
      <c r="AW195" s="121"/>
      <c r="AX195" s="122"/>
      <c r="AY195" s="113">
        <f t="shared" si="335"/>
        <v>0</v>
      </c>
      <c r="AZ195" s="81">
        <f t="shared" si="336"/>
        <v>0</v>
      </c>
      <c r="BA195" s="78"/>
      <c r="BB195" s="79">
        <f t="shared" si="337"/>
        <v>0</v>
      </c>
      <c r="BC195" s="115">
        <f>IF(BB195&gt;0, BB195, IF(BB195=0, L195))</f>
        <v>1</v>
      </c>
      <c r="BD195" s="81">
        <f>IF(BA195=1, (BC195-L195), IF(BA195=0, BC195))</f>
        <v>1</v>
      </c>
      <c r="BE195" s="122"/>
    </row>
    <row r="196" spans="1:57" s="31" customFormat="1" ht="17.5" customHeight="1" x14ac:dyDescent="0.35">
      <c r="A196" s="241"/>
      <c r="B196" s="244"/>
      <c r="C196" s="329"/>
      <c r="D196" s="241"/>
      <c r="E196" s="258" t="s">
        <v>56</v>
      </c>
      <c r="F196" s="259"/>
      <c r="G196" s="92"/>
      <c r="H196" s="141">
        <f>SUM(H193:H195)</f>
        <v>3</v>
      </c>
      <c r="I196" s="94">
        <f>SUM(I193:I195)</f>
        <v>17</v>
      </c>
      <c r="J196" s="295"/>
      <c r="K196" s="287"/>
      <c r="L196" s="95">
        <f>SUM(L193:L195)</f>
        <v>15</v>
      </c>
      <c r="M196" s="288"/>
      <c r="N196" s="288"/>
      <c r="O196" s="153"/>
      <c r="P196" s="198"/>
      <c r="Q196" s="68"/>
      <c r="R196" s="68"/>
      <c r="S196" s="68"/>
      <c r="T196" s="68"/>
      <c r="U196" s="209"/>
      <c r="V196" s="199"/>
      <c r="W196" s="200"/>
      <c r="X196" s="201"/>
      <c r="Y196" s="202"/>
      <c r="Z196" s="203"/>
      <c r="AA196" s="203"/>
      <c r="AB196" s="200"/>
      <c r="AC196" s="201"/>
      <c r="AD196" s="201"/>
      <c r="AE196" s="204"/>
      <c r="AF196" s="203"/>
      <c r="AG196" s="200"/>
      <c r="AH196" s="201"/>
      <c r="AI196" s="202"/>
      <c r="AJ196" s="203"/>
      <c r="AK196" s="203"/>
      <c r="AL196" s="200"/>
      <c r="AM196" s="201"/>
      <c r="AN196" s="202"/>
      <c r="AO196" s="203"/>
      <c r="AP196" s="203"/>
      <c r="AQ196" s="200"/>
      <c r="AR196" s="201"/>
      <c r="AS196" s="202"/>
      <c r="AT196" s="203"/>
      <c r="AU196" s="203"/>
      <c r="AV196" s="200"/>
      <c r="AW196" s="201"/>
      <c r="AX196" s="202"/>
      <c r="AY196" s="203"/>
      <c r="AZ196" s="203"/>
      <c r="BA196" s="204"/>
      <c r="BB196" s="224"/>
      <c r="BC196" s="203"/>
      <c r="BD196" s="228">
        <f>SUM(BD193:BD195)</f>
        <v>15</v>
      </c>
      <c r="BE196" s="202"/>
    </row>
    <row r="197" spans="1:57" s="31" customFormat="1" ht="17.5" hidden="1" customHeight="1" x14ac:dyDescent="0.35">
      <c r="A197" s="354"/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171"/>
      <c r="M197" s="172"/>
      <c r="N197" s="172"/>
      <c r="O197" s="173"/>
      <c r="P197" s="198"/>
      <c r="Q197" s="68"/>
      <c r="R197" s="68"/>
      <c r="S197" s="68"/>
      <c r="T197" s="68"/>
      <c r="U197" s="209"/>
      <c r="V197" s="199"/>
      <c r="W197" s="200"/>
      <c r="X197" s="201"/>
      <c r="Y197" s="202"/>
      <c r="Z197" s="203"/>
      <c r="AA197" s="203"/>
      <c r="AB197" s="200"/>
      <c r="AC197" s="201"/>
      <c r="AD197" s="201"/>
      <c r="AE197" s="204"/>
      <c r="AF197" s="203"/>
      <c r="AG197" s="200"/>
      <c r="AH197" s="201"/>
      <c r="AI197" s="202"/>
      <c r="AJ197" s="203"/>
      <c r="AK197" s="203"/>
      <c r="AL197" s="200"/>
      <c r="AM197" s="201"/>
      <c r="AN197" s="202"/>
      <c r="AO197" s="203"/>
      <c r="AP197" s="203"/>
      <c r="AQ197" s="200"/>
      <c r="AR197" s="201"/>
      <c r="AS197" s="202"/>
      <c r="AT197" s="203"/>
      <c r="AU197" s="203"/>
      <c r="AV197" s="200"/>
      <c r="AW197" s="201"/>
      <c r="AX197" s="202"/>
      <c r="AY197" s="203"/>
      <c r="AZ197" s="203"/>
      <c r="BA197" s="204"/>
      <c r="BB197" s="224"/>
      <c r="BC197" s="203"/>
      <c r="BD197" s="222"/>
      <c r="BE197" s="202"/>
    </row>
    <row r="198" spans="1:57" s="31" customFormat="1" ht="17.5" hidden="1" customHeight="1" thickBot="1" x14ac:dyDescent="0.4">
      <c r="A198" s="241">
        <v>17</v>
      </c>
      <c r="B198" s="242" t="s">
        <v>36</v>
      </c>
      <c r="C198" s="245" t="s">
        <v>217</v>
      </c>
      <c r="D198" s="241" t="s">
        <v>38</v>
      </c>
      <c r="E198" s="138" t="s">
        <v>121</v>
      </c>
      <c r="F198" s="138" t="s">
        <v>39</v>
      </c>
      <c r="G198" s="138">
        <v>1</v>
      </c>
      <c r="H198" s="138" t="s">
        <v>218</v>
      </c>
      <c r="I198" s="139">
        <v>0</v>
      </c>
      <c r="J198" s="295">
        <f xml:space="preserve"> I200/8</f>
        <v>0</v>
      </c>
      <c r="K198" s="245" t="s">
        <v>41</v>
      </c>
      <c r="L198" s="149"/>
      <c r="M198" s="174"/>
      <c r="N198" s="174"/>
      <c r="O198" s="66"/>
      <c r="P198" s="198"/>
      <c r="Q198" s="68"/>
      <c r="R198" s="68"/>
      <c r="S198" s="68"/>
      <c r="T198" s="68"/>
      <c r="U198" s="209"/>
      <c r="V198" s="199"/>
      <c r="W198" s="200"/>
      <c r="X198" s="201"/>
      <c r="Y198" s="202"/>
      <c r="Z198" s="203"/>
      <c r="AA198" s="203"/>
      <c r="AB198" s="200"/>
      <c r="AC198" s="201"/>
      <c r="AD198" s="201"/>
      <c r="AE198" s="204"/>
      <c r="AF198" s="203"/>
      <c r="AG198" s="200"/>
      <c r="AH198" s="201"/>
      <c r="AI198" s="202"/>
      <c r="AJ198" s="203"/>
      <c r="AK198" s="203"/>
      <c r="AL198" s="200"/>
      <c r="AM198" s="201"/>
      <c r="AN198" s="202"/>
      <c r="AO198" s="203"/>
      <c r="AP198" s="203"/>
      <c r="AQ198" s="200"/>
      <c r="AR198" s="201"/>
      <c r="AS198" s="202"/>
      <c r="AT198" s="203"/>
      <c r="AU198" s="203"/>
      <c r="AV198" s="200"/>
      <c r="AW198" s="201"/>
      <c r="AX198" s="202"/>
      <c r="AY198" s="203"/>
      <c r="AZ198" s="203"/>
      <c r="BA198" s="204"/>
      <c r="BB198" s="224"/>
      <c r="BC198" s="203"/>
      <c r="BD198" s="222"/>
      <c r="BE198" s="202"/>
    </row>
    <row r="199" spans="1:57" s="31" customFormat="1" ht="17.5" hidden="1" customHeight="1" thickBot="1" x14ac:dyDescent="0.4">
      <c r="A199" s="241"/>
      <c r="B199" s="243"/>
      <c r="C199" s="245"/>
      <c r="D199" s="241"/>
      <c r="E199" s="138" t="s">
        <v>39</v>
      </c>
      <c r="F199" s="138" t="s">
        <v>71</v>
      </c>
      <c r="G199" s="138">
        <v>1</v>
      </c>
      <c r="H199" s="138" t="s">
        <v>218</v>
      </c>
      <c r="I199" s="139">
        <v>0</v>
      </c>
      <c r="J199" s="295"/>
      <c r="K199" s="245"/>
      <c r="L199" s="149"/>
      <c r="M199" s="174"/>
      <c r="N199" s="174"/>
      <c r="O199" s="66"/>
      <c r="P199" s="198"/>
      <c r="Q199" s="68"/>
      <c r="R199" s="68"/>
      <c r="S199" s="68"/>
      <c r="T199" s="68"/>
      <c r="U199" s="209"/>
      <c r="V199" s="199"/>
      <c r="W199" s="200"/>
      <c r="X199" s="201"/>
      <c r="Y199" s="202"/>
      <c r="Z199" s="203"/>
      <c r="AA199" s="203"/>
      <c r="AB199" s="200"/>
      <c r="AC199" s="201"/>
      <c r="AD199" s="201"/>
      <c r="AE199" s="204"/>
      <c r="AF199" s="203"/>
      <c r="AG199" s="200"/>
      <c r="AH199" s="201"/>
      <c r="AI199" s="202"/>
      <c r="AJ199" s="203"/>
      <c r="AK199" s="203"/>
      <c r="AL199" s="200"/>
      <c r="AM199" s="201"/>
      <c r="AN199" s="202"/>
      <c r="AO199" s="203"/>
      <c r="AP199" s="203"/>
      <c r="AQ199" s="200"/>
      <c r="AR199" s="201"/>
      <c r="AS199" s="202"/>
      <c r="AT199" s="203"/>
      <c r="AU199" s="203"/>
      <c r="AV199" s="200"/>
      <c r="AW199" s="201"/>
      <c r="AX199" s="202"/>
      <c r="AY199" s="203"/>
      <c r="AZ199" s="203"/>
      <c r="BA199" s="204"/>
      <c r="BB199" s="224"/>
      <c r="BC199" s="203"/>
      <c r="BD199" s="222"/>
      <c r="BE199" s="202"/>
    </row>
    <row r="200" spans="1:57" s="31" customFormat="1" ht="17.5" hidden="1" customHeight="1" thickBot="1" x14ac:dyDescent="0.4">
      <c r="A200" s="241"/>
      <c r="B200" s="244"/>
      <c r="C200" s="245"/>
      <c r="D200" s="241"/>
      <c r="E200" s="349" t="s">
        <v>219</v>
      </c>
      <c r="F200" s="349"/>
      <c r="G200" s="349"/>
      <c r="H200" s="141">
        <f>SUM(H198:H199)</f>
        <v>0</v>
      </c>
      <c r="I200" s="94">
        <f>SUM(I198:I199)</f>
        <v>0</v>
      </c>
      <c r="J200" s="295"/>
      <c r="K200" s="245"/>
      <c r="L200" s="149"/>
      <c r="M200" s="174"/>
      <c r="N200" s="174"/>
      <c r="O200" s="66"/>
      <c r="P200" s="198"/>
      <c r="Q200" s="68"/>
      <c r="R200" s="68"/>
      <c r="S200" s="68"/>
      <c r="T200" s="68"/>
      <c r="U200" s="209"/>
      <c r="V200" s="199"/>
      <c r="W200" s="200"/>
      <c r="X200" s="201"/>
      <c r="Y200" s="202"/>
      <c r="Z200" s="203"/>
      <c r="AA200" s="203"/>
      <c r="AB200" s="200"/>
      <c r="AC200" s="201"/>
      <c r="AD200" s="201"/>
      <c r="AE200" s="204"/>
      <c r="AF200" s="203"/>
      <c r="AG200" s="200"/>
      <c r="AH200" s="201"/>
      <c r="AI200" s="202"/>
      <c r="AJ200" s="203"/>
      <c r="AK200" s="203"/>
      <c r="AL200" s="200"/>
      <c r="AM200" s="201"/>
      <c r="AN200" s="202"/>
      <c r="AO200" s="203"/>
      <c r="AP200" s="203"/>
      <c r="AQ200" s="200"/>
      <c r="AR200" s="201"/>
      <c r="AS200" s="202"/>
      <c r="AT200" s="203"/>
      <c r="AU200" s="203"/>
      <c r="AV200" s="200"/>
      <c r="AW200" s="201"/>
      <c r="AX200" s="202"/>
      <c r="AY200" s="203"/>
      <c r="AZ200" s="203"/>
      <c r="BA200" s="204"/>
      <c r="BB200" s="224"/>
      <c r="BC200" s="203"/>
      <c r="BD200" s="222"/>
      <c r="BE200" s="202"/>
    </row>
    <row r="201" spans="1:57" s="31" customFormat="1" ht="17.5" customHeight="1" thickBot="1" x14ac:dyDescent="0.4">
      <c r="A201" s="354"/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171"/>
      <c r="M201" s="172"/>
      <c r="N201" s="172"/>
      <c r="O201" s="99"/>
      <c r="P201" s="198"/>
      <c r="Q201" s="68"/>
      <c r="R201" s="68"/>
      <c r="S201" s="68"/>
      <c r="T201" s="68"/>
      <c r="U201" s="209"/>
      <c r="V201" s="199"/>
      <c r="W201" s="200"/>
      <c r="X201" s="201"/>
      <c r="Y201" s="202"/>
      <c r="Z201" s="203"/>
      <c r="AA201" s="203"/>
      <c r="AB201" s="200"/>
      <c r="AC201" s="201"/>
      <c r="AD201" s="201"/>
      <c r="AE201" s="204"/>
      <c r="AF201" s="203"/>
      <c r="AG201" s="200"/>
      <c r="AH201" s="201"/>
      <c r="AI201" s="202"/>
      <c r="AJ201" s="203"/>
      <c r="AK201" s="203"/>
      <c r="AL201" s="200"/>
      <c r="AM201" s="201"/>
      <c r="AN201" s="202"/>
      <c r="AO201" s="203"/>
      <c r="AP201" s="203"/>
      <c r="AQ201" s="200"/>
      <c r="AR201" s="201"/>
      <c r="AS201" s="202"/>
      <c r="AT201" s="203"/>
      <c r="AU201" s="203"/>
      <c r="AV201" s="200"/>
      <c r="AW201" s="201"/>
      <c r="AX201" s="202"/>
      <c r="AY201" s="203"/>
      <c r="AZ201" s="203"/>
      <c r="BA201" s="206"/>
      <c r="BB201" s="223"/>
      <c r="BC201" s="194"/>
      <c r="BD201" s="208"/>
      <c r="BE201" s="202"/>
    </row>
    <row r="202" spans="1:57" s="31" customFormat="1" ht="17.5" customHeight="1" thickBot="1" x14ac:dyDescent="0.4">
      <c r="A202" s="241">
        <v>18</v>
      </c>
      <c r="B202" s="242" t="s">
        <v>36</v>
      </c>
      <c r="C202" s="245" t="s">
        <v>220</v>
      </c>
      <c r="D202" s="241" t="s">
        <v>62</v>
      </c>
      <c r="E202" s="51" t="s">
        <v>121</v>
      </c>
      <c r="F202" s="51" t="s">
        <v>39</v>
      </c>
      <c r="G202" s="51">
        <v>1</v>
      </c>
      <c r="H202" s="51">
        <v>1</v>
      </c>
      <c r="I202" s="108">
        <f xml:space="preserve"> SUM(G202*H202)</f>
        <v>1</v>
      </c>
      <c r="J202" s="295">
        <f xml:space="preserve"> I207/8*2</f>
        <v>4</v>
      </c>
      <c r="K202" s="287" t="s">
        <v>128</v>
      </c>
      <c r="L202" s="54">
        <v>1</v>
      </c>
      <c r="M202" s="288">
        <f>L207/8</f>
        <v>1.875</v>
      </c>
      <c r="N202" s="288">
        <f>SUM(BD202:BD206)/8</f>
        <v>1.875</v>
      </c>
      <c r="O202" s="151">
        <v>1</v>
      </c>
      <c r="P202" s="110" t="s">
        <v>221</v>
      </c>
      <c r="Q202" s="57">
        <v>0.29166666666666669</v>
      </c>
      <c r="R202" s="57">
        <v>0.66666666666666663</v>
      </c>
      <c r="S202" s="111"/>
      <c r="T202" s="111"/>
      <c r="U202" s="118"/>
      <c r="V202" s="88" t="s">
        <v>73</v>
      </c>
      <c r="W202" s="112"/>
      <c r="X202" s="121"/>
      <c r="Y202" s="122"/>
      <c r="Z202" s="113">
        <f t="shared" ref="Z202:Z206" si="338">(Y202-X202)*24</f>
        <v>0</v>
      </c>
      <c r="AA202" s="81">
        <f t="shared" ref="AA202:AA206" si="339">IF(Z202&gt;=6, (Z202-1), IF(Z202&lt;6, Z202))</f>
        <v>0</v>
      </c>
      <c r="AB202" s="112"/>
      <c r="AC202" s="121"/>
      <c r="AD202" s="121"/>
      <c r="AE202" s="123">
        <f t="shared" ref="AE202:AE206" si="340">(AD202-AC202)*24</f>
        <v>0</v>
      </c>
      <c r="AF202" s="81">
        <f t="shared" ref="AF202:AF206" si="341">IF(AE202&gt;=6, (AE202-1), IF(AE202&lt;6, AE202))</f>
        <v>0</v>
      </c>
      <c r="AG202" s="112"/>
      <c r="AH202" s="121"/>
      <c r="AI202" s="122"/>
      <c r="AJ202" s="113">
        <f t="shared" ref="AJ202:AJ206" si="342">(AI202-AH202)*24</f>
        <v>0</v>
      </c>
      <c r="AK202" s="81">
        <f t="shared" ref="AK202:AK206" si="343">IF(AJ202&gt;=6, (AJ202-1), IF(AJ202&lt;6, AJ202))</f>
        <v>0</v>
      </c>
      <c r="AL202" s="112"/>
      <c r="AM202" s="121"/>
      <c r="AN202" s="122"/>
      <c r="AO202" s="113">
        <f t="shared" ref="AO202:AO206" si="344">(AN202-AM202)*24</f>
        <v>0</v>
      </c>
      <c r="AP202" s="81">
        <f t="shared" ref="AP202:AP206" si="345">IF(AO202&gt;=6, (AO202-1), IF(AO202&lt;6, AO202))</f>
        <v>0</v>
      </c>
      <c r="AQ202" s="112"/>
      <c r="AR202" s="121"/>
      <c r="AS202" s="122"/>
      <c r="AT202" s="113">
        <f t="shared" ref="AT202:AT206" si="346">(AS202-AR202)*24</f>
        <v>0</v>
      </c>
      <c r="AU202" s="81">
        <f t="shared" ref="AU202:AU206" si="347">IF(AT202&gt;=6, (AT202-1), IF(AT202&lt;6, AT202))</f>
        <v>0</v>
      </c>
      <c r="AV202" s="112"/>
      <c r="AW202" s="121"/>
      <c r="AX202" s="122"/>
      <c r="AY202" s="113">
        <f t="shared" ref="AY202:AY206" si="348">(AX202-AW202)*24</f>
        <v>0</v>
      </c>
      <c r="AZ202" s="81">
        <f t="shared" ref="AZ202:AZ206" si="349">IF(AY202&gt;=6, (AY202-1), IF(AY202&lt;6, AY202))</f>
        <v>0</v>
      </c>
      <c r="BA202" s="78"/>
      <c r="BB202" s="79">
        <f t="shared" ref="BB202:BB206" si="350">AA202+AF202+AK202+AP202+AU202+AZ202</f>
        <v>0</v>
      </c>
      <c r="BC202" s="115">
        <f>IF(BB202&gt;0, BB202, IF(BB202=0, L202))</f>
        <v>1</v>
      </c>
      <c r="BD202" s="81">
        <f>IF(BA202=1, (BC202-L202), IF(BA202=0, BC202))</f>
        <v>1</v>
      </c>
      <c r="BE202" s="122"/>
    </row>
    <row r="203" spans="1:57" s="31" customFormat="1" ht="17.5" customHeight="1" thickBot="1" x14ac:dyDescent="0.4">
      <c r="A203" s="241"/>
      <c r="B203" s="243"/>
      <c r="C203" s="245"/>
      <c r="D203" s="241"/>
      <c r="E203" s="51" t="s">
        <v>121</v>
      </c>
      <c r="F203" s="51" t="s">
        <v>92</v>
      </c>
      <c r="G203" s="51">
        <v>7</v>
      </c>
      <c r="H203" s="51">
        <v>1</v>
      </c>
      <c r="I203" s="108">
        <f xml:space="preserve"> SUM(G203*H203)</f>
        <v>7</v>
      </c>
      <c r="J203" s="295"/>
      <c r="K203" s="287"/>
      <c r="L203" s="54">
        <v>6</v>
      </c>
      <c r="M203" s="288"/>
      <c r="N203" s="288"/>
      <c r="O203" s="151">
        <v>1</v>
      </c>
      <c r="P203" s="120" t="s">
        <v>222</v>
      </c>
      <c r="Q203" s="57">
        <v>0.29166666666666669</v>
      </c>
      <c r="R203" s="57">
        <v>0.79166666666666663</v>
      </c>
      <c r="S203" s="111"/>
      <c r="T203" s="111"/>
      <c r="U203" s="118"/>
      <c r="V203" s="132"/>
      <c r="W203" s="112"/>
      <c r="X203" s="121"/>
      <c r="Y203" s="122"/>
      <c r="Z203" s="113">
        <f t="shared" si="338"/>
        <v>0</v>
      </c>
      <c r="AA203" s="81">
        <f t="shared" si="339"/>
        <v>0</v>
      </c>
      <c r="AB203" s="112"/>
      <c r="AC203" s="121"/>
      <c r="AD203" s="121"/>
      <c r="AE203" s="123">
        <f t="shared" si="340"/>
        <v>0</v>
      </c>
      <c r="AF203" s="81">
        <f t="shared" si="341"/>
        <v>0</v>
      </c>
      <c r="AG203" s="112"/>
      <c r="AH203" s="121"/>
      <c r="AI203" s="122"/>
      <c r="AJ203" s="113">
        <f t="shared" si="342"/>
        <v>0</v>
      </c>
      <c r="AK203" s="81">
        <f t="shared" si="343"/>
        <v>0</v>
      </c>
      <c r="AL203" s="112"/>
      <c r="AM203" s="121"/>
      <c r="AN203" s="122"/>
      <c r="AO203" s="113">
        <f t="shared" si="344"/>
        <v>0</v>
      </c>
      <c r="AP203" s="81">
        <f t="shared" si="345"/>
        <v>0</v>
      </c>
      <c r="AQ203" s="112"/>
      <c r="AR203" s="121"/>
      <c r="AS203" s="122"/>
      <c r="AT203" s="113">
        <f t="shared" si="346"/>
        <v>0</v>
      </c>
      <c r="AU203" s="81">
        <f t="shared" si="347"/>
        <v>0</v>
      </c>
      <c r="AV203" s="112"/>
      <c r="AW203" s="121"/>
      <c r="AX203" s="122"/>
      <c r="AY203" s="113">
        <f t="shared" si="348"/>
        <v>0</v>
      </c>
      <c r="AZ203" s="81">
        <f t="shared" si="349"/>
        <v>0</v>
      </c>
      <c r="BA203" s="78"/>
      <c r="BB203" s="79">
        <f t="shared" si="350"/>
        <v>0</v>
      </c>
      <c r="BC203" s="115">
        <f>IF(BB203&gt;0, BB203, IF(BB203=0, L203))</f>
        <v>6</v>
      </c>
      <c r="BD203" s="81">
        <f>IF(BA203=1, (BC203-L203), IF(BA203=0, BC203))</f>
        <v>6</v>
      </c>
      <c r="BE203" s="122"/>
    </row>
    <row r="204" spans="1:57" s="31" customFormat="1" ht="17.5" customHeight="1" thickBot="1" x14ac:dyDescent="0.4">
      <c r="A204" s="241"/>
      <c r="B204" s="243"/>
      <c r="C204" s="245"/>
      <c r="D204" s="241"/>
      <c r="E204" s="51" t="s">
        <v>40</v>
      </c>
      <c r="F204" s="51" t="s">
        <v>153</v>
      </c>
      <c r="G204" s="51">
        <v>3</v>
      </c>
      <c r="H204" s="51">
        <v>1</v>
      </c>
      <c r="I204" s="108">
        <f xml:space="preserve"> SUM(G204*H204)</f>
        <v>3</v>
      </c>
      <c r="J204" s="295"/>
      <c r="K204" s="287"/>
      <c r="L204" s="54">
        <v>3</v>
      </c>
      <c r="M204" s="288"/>
      <c r="N204" s="288"/>
      <c r="O204" s="151">
        <v>1</v>
      </c>
      <c r="P204" s="120" t="s">
        <v>181</v>
      </c>
      <c r="Q204" s="111">
        <v>0.29166666666666669</v>
      </c>
      <c r="R204" s="111">
        <v>0.625</v>
      </c>
      <c r="S204" s="111"/>
      <c r="T204" s="111"/>
      <c r="U204" s="118"/>
      <c r="V204" s="132" t="s">
        <v>43</v>
      </c>
      <c r="W204" s="112"/>
      <c r="X204" s="121"/>
      <c r="Y204" s="122"/>
      <c r="Z204" s="113">
        <f t="shared" si="338"/>
        <v>0</v>
      </c>
      <c r="AA204" s="81">
        <f t="shared" si="339"/>
        <v>0</v>
      </c>
      <c r="AB204" s="112"/>
      <c r="AC204" s="121"/>
      <c r="AD204" s="121"/>
      <c r="AE204" s="123">
        <f t="shared" si="340"/>
        <v>0</v>
      </c>
      <c r="AF204" s="81">
        <f t="shared" si="341"/>
        <v>0</v>
      </c>
      <c r="AG204" s="112"/>
      <c r="AH204" s="121"/>
      <c r="AI204" s="122"/>
      <c r="AJ204" s="113">
        <f t="shared" si="342"/>
        <v>0</v>
      </c>
      <c r="AK204" s="81">
        <f t="shared" si="343"/>
        <v>0</v>
      </c>
      <c r="AL204" s="112"/>
      <c r="AM204" s="121"/>
      <c r="AN204" s="122"/>
      <c r="AO204" s="113">
        <f t="shared" si="344"/>
        <v>0</v>
      </c>
      <c r="AP204" s="81">
        <f t="shared" si="345"/>
        <v>0</v>
      </c>
      <c r="AQ204" s="112"/>
      <c r="AR204" s="121"/>
      <c r="AS204" s="122"/>
      <c r="AT204" s="113">
        <f t="shared" si="346"/>
        <v>0</v>
      </c>
      <c r="AU204" s="81">
        <f t="shared" si="347"/>
        <v>0</v>
      </c>
      <c r="AV204" s="112"/>
      <c r="AW204" s="121"/>
      <c r="AX204" s="122"/>
      <c r="AY204" s="113">
        <f t="shared" si="348"/>
        <v>0</v>
      </c>
      <c r="AZ204" s="81">
        <f t="shared" si="349"/>
        <v>0</v>
      </c>
      <c r="BA204" s="78"/>
      <c r="BB204" s="79">
        <f t="shared" si="350"/>
        <v>0</v>
      </c>
      <c r="BC204" s="115">
        <f>IF(BB204&gt;0, BB204, IF(BB204=0, L204))</f>
        <v>3</v>
      </c>
      <c r="BD204" s="81">
        <f>IF(BA204=1, (BC204-L204), IF(BA204=0, BC204))</f>
        <v>3</v>
      </c>
      <c r="BE204" s="122"/>
    </row>
    <row r="205" spans="1:57" s="31" customFormat="1" ht="17.5" customHeight="1" thickBot="1" x14ac:dyDescent="0.4">
      <c r="A205" s="241"/>
      <c r="B205" s="243"/>
      <c r="C205" s="245"/>
      <c r="D205" s="241"/>
      <c r="E205" s="51" t="s">
        <v>58</v>
      </c>
      <c r="F205" s="51" t="s">
        <v>223</v>
      </c>
      <c r="G205" s="51">
        <v>3</v>
      </c>
      <c r="H205" s="51">
        <v>1</v>
      </c>
      <c r="I205" s="108">
        <f xml:space="preserve"> SUM(G205*H205)</f>
        <v>3</v>
      </c>
      <c r="J205" s="295"/>
      <c r="K205" s="287"/>
      <c r="L205" s="54">
        <v>3</v>
      </c>
      <c r="M205" s="288"/>
      <c r="N205" s="288"/>
      <c r="O205" s="151">
        <v>1</v>
      </c>
      <c r="P205" s="133" t="s">
        <v>224</v>
      </c>
      <c r="Q205" s="111">
        <v>0.54166666666666663</v>
      </c>
      <c r="R205" s="111">
        <v>0.875</v>
      </c>
      <c r="S205" s="111"/>
      <c r="T205" s="111"/>
      <c r="U205" s="118"/>
      <c r="V205" s="132" t="s">
        <v>43</v>
      </c>
      <c r="W205" s="112"/>
      <c r="X205" s="121"/>
      <c r="Y205" s="122"/>
      <c r="Z205" s="113">
        <f t="shared" si="338"/>
        <v>0</v>
      </c>
      <c r="AA205" s="81">
        <f t="shared" si="339"/>
        <v>0</v>
      </c>
      <c r="AB205" s="112"/>
      <c r="AC205" s="121"/>
      <c r="AD205" s="121"/>
      <c r="AE205" s="123">
        <f t="shared" si="340"/>
        <v>0</v>
      </c>
      <c r="AF205" s="81">
        <f t="shared" si="341"/>
        <v>0</v>
      </c>
      <c r="AG205" s="112"/>
      <c r="AH205" s="121"/>
      <c r="AI205" s="122"/>
      <c r="AJ205" s="113">
        <f t="shared" si="342"/>
        <v>0</v>
      </c>
      <c r="AK205" s="81">
        <f t="shared" si="343"/>
        <v>0</v>
      </c>
      <c r="AL205" s="112"/>
      <c r="AM205" s="121"/>
      <c r="AN205" s="122"/>
      <c r="AO205" s="113">
        <f t="shared" si="344"/>
        <v>0</v>
      </c>
      <c r="AP205" s="81">
        <f t="shared" si="345"/>
        <v>0</v>
      </c>
      <c r="AQ205" s="112"/>
      <c r="AR205" s="121"/>
      <c r="AS205" s="122"/>
      <c r="AT205" s="113">
        <f t="shared" si="346"/>
        <v>0</v>
      </c>
      <c r="AU205" s="81">
        <f t="shared" si="347"/>
        <v>0</v>
      </c>
      <c r="AV205" s="112"/>
      <c r="AW205" s="121"/>
      <c r="AX205" s="122"/>
      <c r="AY205" s="113">
        <f t="shared" si="348"/>
        <v>0</v>
      </c>
      <c r="AZ205" s="81">
        <f t="shared" si="349"/>
        <v>0</v>
      </c>
      <c r="BA205" s="78"/>
      <c r="BB205" s="79">
        <f t="shared" si="350"/>
        <v>0</v>
      </c>
      <c r="BC205" s="115">
        <f>IF(BB205&gt;0, BB205, IF(BB205=0, L205))</f>
        <v>3</v>
      </c>
      <c r="BD205" s="81">
        <f>IF(BA205=1, (BC205-L205), IF(BA205=0, BC205))</f>
        <v>3</v>
      </c>
      <c r="BE205" s="122"/>
    </row>
    <row r="206" spans="1:57" s="31" customFormat="1" ht="17.5" customHeight="1" thickBot="1" x14ac:dyDescent="0.4">
      <c r="A206" s="241"/>
      <c r="B206" s="243"/>
      <c r="C206" s="245"/>
      <c r="D206" s="241"/>
      <c r="E206" s="51" t="s">
        <v>53</v>
      </c>
      <c r="F206" s="51" t="s">
        <v>83</v>
      </c>
      <c r="G206" s="51">
        <v>2</v>
      </c>
      <c r="H206" s="51">
        <v>1</v>
      </c>
      <c r="I206" s="108">
        <f xml:space="preserve"> SUM(G206*H206)</f>
        <v>2</v>
      </c>
      <c r="J206" s="295"/>
      <c r="K206" s="287"/>
      <c r="L206" s="54">
        <v>2</v>
      </c>
      <c r="M206" s="288"/>
      <c r="N206" s="288"/>
      <c r="O206" s="151">
        <v>1</v>
      </c>
      <c r="P206" s="133" t="s">
        <v>224</v>
      </c>
      <c r="Q206" s="86">
        <v>0.54166666666666663</v>
      </c>
      <c r="R206" s="86">
        <v>0.875</v>
      </c>
      <c r="S206" s="86"/>
      <c r="T206" s="86"/>
      <c r="U206" s="118"/>
      <c r="V206" s="88" t="s">
        <v>43</v>
      </c>
      <c r="W206" s="89"/>
      <c r="X206" s="90"/>
      <c r="Y206" s="91"/>
      <c r="Z206" s="113">
        <f t="shared" si="338"/>
        <v>0</v>
      </c>
      <c r="AA206" s="81">
        <f t="shared" si="339"/>
        <v>0</v>
      </c>
      <c r="AB206" s="89"/>
      <c r="AC206" s="90"/>
      <c r="AD206" s="90"/>
      <c r="AE206" s="123">
        <f t="shared" si="340"/>
        <v>0</v>
      </c>
      <c r="AF206" s="81">
        <f t="shared" si="341"/>
        <v>0</v>
      </c>
      <c r="AG206" s="89"/>
      <c r="AH206" s="90"/>
      <c r="AI206" s="91"/>
      <c r="AJ206" s="113">
        <f t="shared" si="342"/>
        <v>0</v>
      </c>
      <c r="AK206" s="81">
        <f t="shared" si="343"/>
        <v>0</v>
      </c>
      <c r="AL206" s="89"/>
      <c r="AM206" s="90"/>
      <c r="AN206" s="91"/>
      <c r="AO206" s="113">
        <f t="shared" si="344"/>
        <v>0</v>
      </c>
      <c r="AP206" s="81">
        <f t="shared" si="345"/>
        <v>0</v>
      </c>
      <c r="AQ206" s="89"/>
      <c r="AR206" s="90"/>
      <c r="AS206" s="91"/>
      <c r="AT206" s="113">
        <f t="shared" si="346"/>
        <v>0</v>
      </c>
      <c r="AU206" s="81">
        <f t="shared" si="347"/>
        <v>0</v>
      </c>
      <c r="AV206" s="89"/>
      <c r="AW206" s="90"/>
      <c r="AX206" s="91"/>
      <c r="AY206" s="113">
        <f t="shared" si="348"/>
        <v>0</v>
      </c>
      <c r="AZ206" s="81">
        <f t="shared" si="349"/>
        <v>0</v>
      </c>
      <c r="BA206" s="78"/>
      <c r="BB206" s="79">
        <f t="shared" si="350"/>
        <v>0</v>
      </c>
      <c r="BC206" s="115">
        <f>IF(BB206&gt;0, BB206, IF(BB206=0, L206))</f>
        <v>2</v>
      </c>
      <c r="BD206" s="81">
        <f>IF(BA206=1, (BC206-L206), IF(BA206=0, BC206))</f>
        <v>2</v>
      </c>
      <c r="BE206" s="91"/>
    </row>
    <row r="207" spans="1:57" s="31" customFormat="1" ht="17.5" customHeight="1" x14ac:dyDescent="0.35">
      <c r="A207" s="241"/>
      <c r="B207" s="244"/>
      <c r="C207" s="245"/>
      <c r="D207" s="241"/>
      <c r="E207" s="258" t="s">
        <v>141</v>
      </c>
      <c r="F207" s="259"/>
      <c r="G207" s="92"/>
      <c r="H207" s="141">
        <f>SUM(H202:H206)</f>
        <v>5</v>
      </c>
      <c r="I207" s="94">
        <f>SUM(I202:I206)</f>
        <v>16</v>
      </c>
      <c r="J207" s="295"/>
      <c r="K207" s="287"/>
      <c r="L207" s="95">
        <f>SUM(L202:L206)</f>
        <v>15</v>
      </c>
      <c r="M207" s="288"/>
      <c r="N207" s="288"/>
      <c r="O207" s="153"/>
      <c r="P207" s="198"/>
      <c r="Q207" s="68"/>
      <c r="R207" s="68"/>
      <c r="S207" s="68"/>
      <c r="T207" s="68"/>
      <c r="U207" s="209"/>
      <c r="V207" s="199"/>
      <c r="W207" s="200"/>
      <c r="X207" s="201"/>
      <c r="Y207" s="202"/>
      <c r="Z207" s="203"/>
      <c r="AA207" s="203"/>
      <c r="AB207" s="200"/>
      <c r="AC207" s="201"/>
      <c r="AD207" s="201"/>
      <c r="AE207" s="204"/>
      <c r="AF207" s="203"/>
      <c r="AG207" s="200"/>
      <c r="AH207" s="201"/>
      <c r="AI207" s="202"/>
      <c r="AJ207" s="203"/>
      <c r="AK207" s="203"/>
      <c r="AL207" s="200"/>
      <c r="AM207" s="201"/>
      <c r="AN207" s="202"/>
      <c r="AO207" s="203"/>
      <c r="AP207" s="203"/>
      <c r="AQ207" s="200"/>
      <c r="AR207" s="201"/>
      <c r="AS207" s="202"/>
      <c r="AT207" s="203"/>
      <c r="AU207" s="203"/>
      <c r="AV207" s="200"/>
      <c r="AW207" s="201"/>
      <c r="AX207" s="202"/>
      <c r="AY207" s="203"/>
      <c r="AZ207" s="203"/>
      <c r="BA207" s="204"/>
      <c r="BB207" s="224"/>
      <c r="BC207" s="203"/>
      <c r="BD207" s="228">
        <f>SUM(BD202:BD206)</f>
        <v>15</v>
      </c>
      <c r="BE207" s="202"/>
    </row>
    <row r="208" spans="1:57" s="31" customFormat="1" ht="17.5" customHeight="1" thickBot="1" x14ac:dyDescent="0.4">
      <c r="A208" s="100"/>
      <c r="B208" s="101"/>
      <c r="C208" s="102"/>
      <c r="D208" s="102"/>
      <c r="E208" s="101"/>
      <c r="F208" s="101"/>
      <c r="G208" s="101"/>
      <c r="H208" s="101"/>
      <c r="I208" s="101"/>
      <c r="J208" s="102"/>
      <c r="K208" s="103"/>
      <c r="L208" s="104"/>
      <c r="M208" s="105"/>
      <c r="N208" s="105"/>
      <c r="O208" s="99"/>
      <c r="P208" s="198"/>
      <c r="Q208" s="68"/>
      <c r="R208" s="68"/>
      <c r="S208" s="68"/>
      <c r="T208" s="68"/>
      <c r="U208" s="209"/>
      <c r="V208" s="199"/>
      <c r="W208" s="200"/>
      <c r="X208" s="201"/>
      <c r="Y208" s="202"/>
      <c r="Z208" s="203"/>
      <c r="AA208" s="203"/>
      <c r="AB208" s="200"/>
      <c r="AC208" s="201"/>
      <c r="AD208" s="201"/>
      <c r="AE208" s="204"/>
      <c r="AF208" s="203"/>
      <c r="AG208" s="200"/>
      <c r="AH208" s="201"/>
      <c r="AI208" s="202"/>
      <c r="AJ208" s="203"/>
      <c r="AK208" s="203"/>
      <c r="AL208" s="200"/>
      <c r="AM208" s="201"/>
      <c r="AN208" s="202"/>
      <c r="AO208" s="203"/>
      <c r="AP208" s="203"/>
      <c r="AQ208" s="200"/>
      <c r="AR208" s="201"/>
      <c r="AS208" s="202"/>
      <c r="AT208" s="203"/>
      <c r="AU208" s="203"/>
      <c r="AV208" s="200"/>
      <c r="AW208" s="201"/>
      <c r="AX208" s="202"/>
      <c r="AY208" s="203"/>
      <c r="AZ208" s="203"/>
      <c r="BA208" s="206"/>
      <c r="BB208" s="223"/>
      <c r="BC208" s="194"/>
      <c r="BD208" s="208"/>
      <c r="BE208" s="202"/>
    </row>
    <row r="209" spans="1:57" s="31" customFormat="1" ht="17.5" customHeight="1" thickBot="1" x14ac:dyDescent="0.4">
      <c r="A209" s="241">
        <v>19</v>
      </c>
      <c r="B209" s="242" t="s">
        <v>36</v>
      </c>
      <c r="C209" s="329" t="s">
        <v>225</v>
      </c>
      <c r="D209" s="241" t="s">
        <v>62</v>
      </c>
      <c r="E209" s="51" t="s">
        <v>71</v>
      </c>
      <c r="F209" s="51" t="s">
        <v>58</v>
      </c>
      <c r="G209" s="51">
        <v>8</v>
      </c>
      <c r="H209" s="51">
        <v>1</v>
      </c>
      <c r="I209" s="108">
        <f xml:space="preserve"> SUM(G209*H209)</f>
        <v>8</v>
      </c>
      <c r="J209" s="295">
        <f xml:space="preserve"> I210/8*2</f>
        <v>2</v>
      </c>
      <c r="K209" s="287" t="s">
        <v>128</v>
      </c>
      <c r="L209" s="54">
        <v>7</v>
      </c>
      <c r="M209" s="288">
        <f>L210/8</f>
        <v>0.875</v>
      </c>
      <c r="N209" s="288">
        <f>BD209/8</f>
        <v>0.875</v>
      </c>
      <c r="O209" s="151">
        <v>1</v>
      </c>
      <c r="P209" s="110" t="s">
        <v>226</v>
      </c>
      <c r="Q209" s="111">
        <v>0.375</v>
      </c>
      <c r="R209" s="111">
        <v>0.70833333333333337</v>
      </c>
      <c r="S209" s="111">
        <v>0.375</v>
      </c>
      <c r="T209" s="111">
        <v>0.58333333333333337</v>
      </c>
      <c r="U209" s="118"/>
      <c r="V209" s="132" t="s">
        <v>43</v>
      </c>
      <c r="W209" s="112"/>
      <c r="X209" s="121"/>
      <c r="Y209" s="122"/>
      <c r="Z209" s="113">
        <f t="shared" ref="Z209" si="351">(Y209-X209)*24</f>
        <v>0</v>
      </c>
      <c r="AA209" s="81">
        <f t="shared" ref="AA209" si="352">IF(Z209&gt;=6, (Z209-1), IF(Z209&lt;6, Z209))</f>
        <v>0</v>
      </c>
      <c r="AB209" s="112"/>
      <c r="AC209" s="121"/>
      <c r="AD209" s="121"/>
      <c r="AE209" s="123">
        <f t="shared" ref="AE209" si="353">(AD209-AC209)*24</f>
        <v>0</v>
      </c>
      <c r="AF209" s="81">
        <f t="shared" ref="AF209" si="354">IF(AE209&gt;=6, (AE209-1), IF(AE209&lt;6, AE209))</f>
        <v>0</v>
      </c>
      <c r="AG209" s="112"/>
      <c r="AH209" s="121"/>
      <c r="AI209" s="122"/>
      <c r="AJ209" s="113">
        <f t="shared" ref="AJ209" si="355">(AI209-AH209)*24</f>
        <v>0</v>
      </c>
      <c r="AK209" s="81">
        <f t="shared" ref="AK209" si="356">IF(AJ209&gt;=6, (AJ209-1), IF(AJ209&lt;6, AJ209))</f>
        <v>0</v>
      </c>
      <c r="AL209" s="112"/>
      <c r="AM209" s="121"/>
      <c r="AN209" s="122"/>
      <c r="AO209" s="113">
        <f t="shared" ref="AO209" si="357">(AN209-AM209)*24</f>
        <v>0</v>
      </c>
      <c r="AP209" s="81">
        <f t="shared" ref="AP209" si="358">IF(AO209&gt;=6, (AO209-1), IF(AO209&lt;6, AO209))</f>
        <v>0</v>
      </c>
      <c r="AQ209" s="112"/>
      <c r="AR209" s="121"/>
      <c r="AS209" s="122"/>
      <c r="AT209" s="113">
        <f t="shared" ref="AT209" si="359">(AS209-AR209)*24</f>
        <v>0</v>
      </c>
      <c r="AU209" s="81">
        <f t="shared" ref="AU209" si="360">IF(AT209&gt;=6, (AT209-1), IF(AT209&lt;6, AT209))</f>
        <v>0</v>
      </c>
      <c r="AV209" s="112"/>
      <c r="AW209" s="121"/>
      <c r="AX209" s="122"/>
      <c r="AY209" s="113">
        <f t="shared" ref="AY209" si="361">(AX209-AW209)*24</f>
        <v>0</v>
      </c>
      <c r="AZ209" s="81">
        <f t="shared" ref="AZ209" si="362">IF(AY209&gt;=6, (AY209-1), IF(AY209&lt;6, AY209))</f>
        <v>0</v>
      </c>
      <c r="BA209" s="78"/>
      <c r="BB209" s="79">
        <f t="shared" ref="BB209" si="363">AA209+AF209+AK209+AP209+AU209+AZ209</f>
        <v>0</v>
      </c>
      <c r="BC209" s="115">
        <f>IF(BB209&gt;0, BB209, IF(BB209=0, L209))</f>
        <v>7</v>
      </c>
      <c r="BD209" s="81">
        <f>IF(BA209=1, (BC209-L209), IF(BA209=0, BC209))</f>
        <v>7</v>
      </c>
      <c r="BE209" s="122"/>
    </row>
    <row r="210" spans="1:57" s="31" customFormat="1" ht="17.5" customHeight="1" x14ac:dyDescent="0.35">
      <c r="A210" s="241"/>
      <c r="B210" s="244"/>
      <c r="C210" s="329"/>
      <c r="D210" s="241"/>
      <c r="E210" s="258" t="s">
        <v>141</v>
      </c>
      <c r="F210" s="259"/>
      <c r="G210" s="92"/>
      <c r="H210" s="141">
        <f>SUM(H209)</f>
        <v>1</v>
      </c>
      <c r="I210" s="94">
        <f>SUM(I209)</f>
        <v>8</v>
      </c>
      <c r="J210" s="295"/>
      <c r="K210" s="287"/>
      <c r="L210" s="95">
        <f>SUM(L209)</f>
        <v>7</v>
      </c>
      <c r="M210" s="288"/>
      <c r="N210" s="288"/>
      <c r="O210" s="153"/>
      <c r="P210" s="198"/>
      <c r="Q210" s="68"/>
      <c r="R210" s="68"/>
      <c r="S210" s="68"/>
      <c r="T210" s="68"/>
      <c r="U210" s="209"/>
      <c r="V210" s="199"/>
      <c r="W210" s="200"/>
      <c r="X210" s="201"/>
      <c r="Y210" s="202"/>
      <c r="Z210" s="203"/>
      <c r="AA210" s="203"/>
      <c r="AB210" s="200"/>
      <c r="AC210" s="201"/>
      <c r="AD210" s="201"/>
      <c r="AE210" s="204"/>
      <c r="AF210" s="203"/>
      <c r="AG210" s="200"/>
      <c r="AH210" s="201"/>
      <c r="AI210" s="202"/>
      <c r="AJ210" s="203"/>
      <c r="AK210" s="203"/>
      <c r="AL210" s="200"/>
      <c r="AM210" s="201"/>
      <c r="AN210" s="202"/>
      <c r="AO210" s="203"/>
      <c r="AP210" s="203"/>
      <c r="AQ210" s="200"/>
      <c r="AR210" s="201"/>
      <c r="AS210" s="202"/>
      <c r="AT210" s="203"/>
      <c r="AU210" s="203"/>
      <c r="AV210" s="200"/>
      <c r="AW210" s="201"/>
      <c r="AX210" s="202"/>
      <c r="AY210" s="203"/>
      <c r="AZ210" s="203"/>
      <c r="BA210" s="204"/>
      <c r="BB210" s="224"/>
      <c r="BC210" s="203"/>
      <c r="BD210" s="228">
        <f>BD209</f>
        <v>7</v>
      </c>
      <c r="BE210" s="202"/>
    </row>
    <row r="211" spans="1:57" s="31" customFormat="1" ht="17.5" customHeight="1" thickBot="1" x14ac:dyDescent="0.4">
      <c r="A211" s="100"/>
      <c r="B211" s="101"/>
      <c r="C211" s="102"/>
      <c r="D211" s="102"/>
      <c r="E211" s="101"/>
      <c r="F211" s="101"/>
      <c r="G211" s="101"/>
      <c r="H211" s="101"/>
      <c r="I211" s="101"/>
      <c r="J211" s="102"/>
      <c r="K211" s="103"/>
      <c r="L211" s="104"/>
      <c r="M211" s="105"/>
      <c r="N211" s="105"/>
      <c r="O211" s="99"/>
      <c r="P211" s="198"/>
      <c r="Q211" s="68"/>
      <c r="R211" s="68"/>
      <c r="S211" s="68"/>
      <c r="T211" s="68"/>
      <c r="U211" s="209"/>
      <c r="V211" s="199"/>
      <c r="W211" s="200"/>
      <c r="X211" s="201"/>
      <c r="Y211" s="202"/>
      <c r="Z211" s="203"/>
      <c r="AA211" s="203"/>
      <c r="AB211" s="200"/>
      <c r="AC211" s="201"/>
      <c r="AD211" s="201"/>
      <c r="AE211" s="204"/>
      <c r="AF211" s="203"/>
      <c r="AG211" s="200"/>
      <c r="AH211" s="201"/>
      <c r="AI211" s="202"/>
      <c r="AJ211" s="203"/>
      <c r="AK211" s="203"/>
      <c r="AL211" s="200"/>
      <c r="AM211" s="201"/>
      <c r="AN211" s="202"/>
      <c r="AO211" s="203"/>
      <c r="AP211" s="203"/>
      <c r="AQ211" s="200"/>
      <c r="AR211" s="201"/>
      <c r="AS211" s="202"/>
      <c r="AT211" s="203"/>
      <c r="AU211" s="203"/>
      <c r="AV211" s="200"/>
      <c r="AW211" s="201"/>
      <c r="AX211" s="202"/>
      <c r="AY211" s="203"/>
      <c r="AZ211" s="203"/>
      <c r="BA211" s="206"/>
      <c r="BB211" s="223"/>
      <c r="BC211" s="194"/>
      <c r="BD211" s="208"/>
      <c r="BE211" s="202"/>
    </row>
    <row r="212" spans="1:57" s="31" customFormat="1" ht="17.5" customHeight="1" thickBot="1" x14ac:dyDescent="0.4">
      <c r="A212" s="241">
        <v>20</v>
      </c>
      <c r="B212" s="242" t="s">
        <v>36</v>
      </c>
      <c r="C212" s="329" t="s">
        <v>227</v>
      </c>
      <c r="D212" s="245" t="s">
        <v>179</v>
      </c>
      <c r="E212" s="138" t="s">
        <v>228</v>
      </c>
      <c r="F212" s="138" t="s">
        <v>58</v>
      </c>
      <c r="G212" s="138">
        <v>8.5</v>
      </c>
      <c r="H212" s="138">
        <v>1</v>
      </c>
      <c r="I212" s="139">
        <v>8.5</v>
      </c>
      <c r="J212" s="295">
        <f xml:space="preserve"> I213/8</f>
        <v>1.0625</v>
      </c>
      <c r="K212" s="287" t="s">
        <v>41</v>
      </c>
      <c r="L212" s="54">
        <v>7.5</v>
      </c>
      <c r="M212" s="288">
        <f>L213/8</f>
        <v>0.9375</v>
      </c>
      <c r="N212" s="288">
        <f>BD212/8</f>
        <v>0.9375</v>
      </c>
      <c r="O212" s="151">
        <v>1</v>
      </c>
      <c r="P212" s="110" t="s">
        <v>229</v>
      </c>
      <c r="Q212" s="111">
        <v>0.33333333333333331</v>
      </c>
      <c r="R212" s="111">
        <v>0.70833333333333337</v>
      </c>
      <c r="S212" s="111"/>
      <c r="T212" s="111"/>
      <c r="U212" s="118"/>
      <c r="V212" s="111" t="s">
        <v>193</v>
      </c>
      <c r="W212" s="112"/>
      <c r="X212" s="121"/>
      <c r="Y212" s="122"/>
      <c r="Z212" s="113">
        <f t="shared" ref="Z212" si="364">(Y212-X212)*24</f>
        <v>0</v>
      </c>
      <c r="AA212" s="81">
        <f t="shared" ref="AA212" si="365">IF(Z212&gt;=6, (Z212-1), IF(Z212&lt;6, Z212))</f>
        <v>0</v>
      </c>
      <c r="AB212" s="112"/>
      <c r="AC212" s="121"/>
      <c r="AD212" s="121"/>
      <c r="AE212" s="123">
        <f t="shared" ref="AE212" si="366">(AD212-AC212)*24</f>
        <v>0</v>
      </c>
      <c r="AF212" s="81">
        <f t="shared" ref="AF212" si="367">IF(AE212&gt;=6, (AE212-1), IF(AE212&lt;6, AE212))</f>
        <v>0</v>
      </c>
      <c r="AG212" s="112"/>
      <c r="AH212" s="121"/>
      <c r="AI212" s="122"/>
      <c r="AJ212" s="113">
        <f t="shared" ref="AJ212" si="368">(AI212-AH212)*24</f>
        <v>0</v>
      </c>
      <c r="AK212" s="81">
        <f t="shared" ref="AK212" si="369">IF(AJ212&gt;=6, (AJ212-1), IF(AJ212&lt;6, AJ212))</f>
        <v>0</v>
      </c>
      <c r="AL212" s="112"/>
      <c r="AM212" s="121"/>
      <c r="AN212" s="122"/>
      <c r="AO212" s="113">
        <f t="shared" ref="AO212" si="370">(AN212-AM212)*24</f>
        <v>0</v>
      </c>
      <c r="AP212" s="81">
        <f t="shared" ref="AP212" si="371">IF(AO212&gt;=6, (AO212-1), IF(AO212&lt;6, AO212))</f>
        <v>0</v>
      </c>
      <c r="AQ212" s="112"/>
      <c r="AR212" s="121"/>
      <c r="AS212" s="122"/>
      <c r="AT212" s="113">
        <f t="shared" ref="AT212" si="372">(AS212-AR212)*24</f>
        <v>0</v>
      </c>
      <c r="AU212" s="81">
        <f t="shared" ref="AU212" si="373">IF(AT212&gt;=6, (AT212-1), IF(AT212&lt;6, AT212))</f>
        <v>0</v>
      </c>
      <c r="AV212" s="112"/>
      <c r="AW212" s="121"/>
      <c r="AX212" s="122"/>
      <c r="AY212" s="113">
        <f t="shared" ref="AY212" si="374">(AX212-AW212)*24</f>
        <v>0</v>
      </c>
      <c r="AZ212" s="81">
        <f t="shared" ref="AZ212" si="375">IF(AY212&gt;=6, (AY212-1), IF(AY212&lt;6, AY212))</f>
        <v>0</v>
      </c>
      <c r="BA212" s="78"/>
      <c r="BB212" s="79">
        <f t="shared" ref="BB212" si="376">AA212+AF212+AK212+AP212+AU212+AZ212</f>
        <v>0</v>
      </c>
      <c r="BC212" s="115">
        <f>IF(BB212&gt;0, BB212, IF(BB212=0, L212))</f>
        <v>7.5</v>
      </c>
      <c r="BD212" s="81">
        <f>IF(BA212=1, (BC212-L212), IF(BA212=0, BC212))</f>
        <v>7.5</v>
      </c>
      <c r="BE212" s="122"/>
    </row>
    <row r="213" spans="1:57" s="31" customFormat="1" ht="17.5" customHeight="1" x14ac:dyDescent="0.35">
      <c r="A213" s="241"/>
      <c r="B213" s="244"/>
      <c r="C213" s="329"/>
      <c r="D213" s="245"/>
      <c r="E213" s="258" t="s">
        <v>56</v>
      </c>
      <c r="F213" s="259"/>
      <c r="G213" s="92"/>
      <c r="H213" s="141">
        <v>1</v>
      </c>
      <c r="I213" s="94">
        <f>SUM(I212)</f>
        <v>8.5</v>
      </c>
      <c r="J213" s="295"/>
      <c r="K213" s="287"/>
      <c r="L213" s="95">
        <f>SUM(L212)</f>
        <v>7.5</v>
      </c>
      <c r="M213" s="288"/>
      <c r="N213" s="288"/>
      <c r="O213" s="153"/>
      <c r="P213" s="198"/>
      <c r="Q213" s="68"/>
      <c r="R213" s="68"/>
      <c r="S213" s="68"/>
      <c r="T213" s="68"/>
      <c r="U213" s="209"/>
      <c r="V213" s="199"/>
      <c r="W213" s="200"/>
      <c r="X213" s="201"/>
      <c r="Y213" s="202"/>
      <c r="Z213" s="203"/>
      <c r="AA213" s="203"/>
      <c r="AB213" s="200"/>
      <c r="AC213" s="201"/>
      <c r="AD213" s="201"/>
      <c r="AE213" s="204"/>
      <c r="AF213" s="203"/>
      <c r="AG213" s="200"/>
      <c r="AH213" s="201"/>
      <c r="AI213" s="202"/>
      <c r="AJ213" s="203"/>
      <c r="AK213" s="203"/>
      <c r="AL213" s="200"/>
      <c r="AM213" s="201"/>
      <c r="AN213" s="202"/>
      <c r="AO213" s="203"/>
      <c r="AP213" s="203"/>
      <c r="AQ213" s="200"/>
      <c r="AR213" s="201"/>
      <c r="AS213" s="202"/>
      <c r="AT213" s="203"/>
      <c r="AU213" s="203"/>
      <c r="AV213" s="200"/>
      <c r="AW213" s="201"/>
      <c r="AX213" s="202"/>
      <c r="AY213" s="203"/>
      <c r="AZ213" s="203"/>
      <c r="BA213" s="204"/>
      <c r="BB213" s="224"/>
      <c r="BC213" s="203"/>
      <c r="BD213" s="228">
        <f>BD212</f>
        <v>7.5</v>
      </c>
      <c r="BE213" s="202"/>
    </row>
    <row r="214" spans="1:57" s="31" customFormat="1" ht="17.5" customHeight="1" thickBot="1" x14ac:dyDescent="0.4">
      <c r="A214" s="100"/>
      <c r="B214" s="101"/>
      <c r="C214" s="102"/>
      <c r="D214" s="102"/>
      <c r="E214" s="101"/>
      <c r="F214" s="101"/>
      <c r="G214" s="101"/>
      <c r="H214" s="101"/>
      <c r="I214" s="101"/>
      <c r="J214" s="102"/>
      <c r="K214" s="103"/>
      <c r="L214" s="104"/>
      <c r="M214" s="105"/>
      <c r="N214" s="105"/>
      <c r="O214" s="99"/>
      <c r="P214" s="198"/>
      <c r="Q214" s="68"/>
      <c r="R214" s="68"/>
      <c r="S214" s="68"/>
      <c r="T214" s="68"/>
      <c r="U214" s="209"/>
      <c r="V214" s="199"/>
      <c r="W214" s="200"/>
      <c r="X214" s="201"/>
      <c r="Y214" s="202"/>
      <c r="Z214" s="203"/>
      <c r="AA214" s="203"/>
      <c r="AB214" s="200"/>
      <c r="AC214" s="201"/>
      <c r="AD214" s="201"/>
      <c r="AE214" s="204"/>
      <c r="AF214" s="203"/>
      <c r="AG214" s="200"/>
      <c r="AH214" s="201"/>
      <c r="AI214" s="202"/>
      <c r="AJ214" s="203"/>
      <c r="AK214" s="203"/>
      <c r="AL214" s="200"/>
      <c r="AM214" s="201"/>
      <c r="AN214" s="202"/>
      <c r="AO214" s="203"/>
      <c r="AP214" s="203"/>
      <c r="AQ214" s="200"/>
      <c r="AR214" s="201"/>
      <c r="AS214" s="202"/>
      <c r="AT214" s="203"/>
      <c r="AU214" s="203"/>
      <c r="AV214" s="200"/>
      <c r="AW214" s="201"/>
      <c r="AX214" s="202"/>
      <c r="AY214" s="203"/>
      <c r="AZ214" s="203"/>
      <c r="BA214" s="206"/>
      <c r="BB214" s="223"/>
      <c r="BC214" s="194"/>
      <c r="BD214" s="208"/>
      <c r="BE214" s="202"/>
    </row>
    <row r="215" spans="1:57" s="31" customFormat="1" ht="17.5" customHeight="1" thickBot="1" x14ac:dyDescent="0.4">
      <c r="A215" s="278">
        <v>21</v>
      </c>
      <c r="B215" s="242" t="s">
        <v>36</v>
      </c>
      <c r="C215" s="350" t="s">
        <v>230</v>
      </c>
      <c r="D215" s="353" t="s">
        <v>62</v>
      </c>
      <c r="E215" s="51" t="s">
        <v>121</v>
      </c>
      <c r="F215" s="51" t="s">
        <v>92</v>
      </c>
      <c r="G215" s="51">
        <v>8</v>
      </c>
      <c r="H215" s="51">
        <v>1</v>
      </c>
      <c r="I215" s="108">
        <f xml:space="preserve"> SUM(G215*H215)</f>
        <v>8</v>
      </c>
      <c r="J215" s="286">
        <f xml:space="preserve"> I218/8</f>
        <v>3</v>
      </c>
      <c r="K215" s="287" t="s">
        <v>63</v>
      </c>
      <c r="L215" s="54">
        <v>7</v>
      </c>
      <c r="M215" s="288">
        <f>L218/8</f>
        <v>2.625</v>
      </c>
      <c r="N215" s="288">
        <f>SUM(BD215:BD217)/8</f>
        <v>2.625</v>
      </c>
      <c r="O215" s="151">
        <v>1</v>
      </c>
      <c r="P215" s="110" t="s">
        <v>231</v>
      </c>
      <c r="Q215" s="111">
        <v>0.29166666666666669</v>
      </c>
      <c r="R215" s="111">
        <v>0.625</v>
      </c>
      <c r="S215" s="111"/>
      <c r="T215" s="111"/>
      <c r="U215" s="118"/>
      <c r="V215" s="132"/>
      <c r="W215" s="112"/>
      <c r="X215" s="121"/>
      <c r="Y215" s="122"/>
      <c r="Z215" s="113">
        <f t="shared" ref="Z215:Z217" si="377">(Y215-X215)*24</f>
        <v>0</v>
      </c>
      <c r="AA215" s="81">
        <f t="shared" ref="AA215:AA217" si="378">IF(Z215&gt;=6, (Z215-1), IF(Z215&lt;6, Z215))</f>
        <v>0</v>
      </c>
      <c r="AB215" s="112"/>
      <c r="AC215" s="121"/>
      <c r="AD215" s="121"/>
      <c r="AE215" s="123">
        <f t="shared" ref="AE215:AE217" si="379">(AD215-AC215)*24</f>
        <v>0</v>
      </c>
      <c r="AF215" s="81">
        <f t="shared" ref="AF215:AF217" si="380">IF(AE215&gt;=6, (AE215-1), IF(AE215&lt;6, AE215))</f>
        <v>0</v>
      </c>
      <c r="AG215" s="112"/>
      <c r="AH215" s="121"/>
      <c r="AI215" s="122"/>
      <c r="AJ215" s="113">
        <f t="shared" ref="AJ215:AJ217" si="381">(AI215-AH215)*24</f>
        <v>0</v>
      </c>
      <c r="AK215" s="81">
        <f t="shared" ref="AK215:AK217" si="382">IF(AJ215&gt;=6, (AJ215-1), IF(AJ215&lt;6, AJ215))</f>
        <v>0</v>
      </c>
      <c r="AL215" s="112"/>
      <c r="AM215" s="121"/>
      <c r="AN215" s="122"/>
      <c r="AO215" s="113">
        <f t="shared" ref="AO215:AO217" si="383">(AN215-AM215)*24</f>
        <v>0</v>
      </c>
      <c r="AP215" s="81">
        <f t="shared" ref="AP215:AP217" si="384">IF(AO215&gt;=6, (AO215-1), IF(AO215&lt;6, AO215))</f>
        <v>0</v>
      </c>
      <c r="AQ215" s="112"/>
      <c r="AR215" s="121"/>
      <c r="AS215" s="122"/>
      <c r="AT215" s="113">
        <f t="shared" ref="AT215:AT217" si="385">(AS215-AR215)*24</f>
        <v>0</v>
      </c>
      <c r="AU215" s="81">
        <f t="shared" ref="AU215:AU217" si="386">IF(AT215&gt;=6, (AT215-1), IF(AT215&lt;6, AT215))</f>
        <v>0</v>
      </c>
      <c r="AV215" s="112"/>
      <c r="AW215" s="121"/>
      <c r="AX215" s="122"/>
      <c r="AY215" s="113">
        <f t="shared" ref="AY215:AY217" si="387">(AX215-AW215)*24</f>
        <v>0</v>
      </c>
      <c r="AZ215" s="81">
        <f t="shared" ref="AZ215:AZ217" si="388">IF(AY215&gt;=6, (AY215-1), IF(AY215&lt;6, AY215))</f>
        <v>0</v>
      </c>
      <c r="BA215" s="78"/>
      <c r="BB215" s="79">
        <f t="shared" ref="BB215:BB221" si="389">AA215+AF215+AK215+AP215+AU215+AZ215</f>
        <v>0</v>
      </c>
      <c r="BC215" s="115">
        <f>IF(BB215&gt;0, BB215, IF(BB215=0, L215))</f>
        <v>7</v>
      </c>
      <c r="BD215" s="81">
        <f>IF(BA215=1, (BC215-L215), IF(BA215=0, BC215))</f>
        <v>7</v>
      </c>
      <c r="BE215" s="122"/>
    </row>
    <row r="216" spans="1:57" s="31" customFormat="1" ht="17.5" customHeight="1" thickBot="1" x14ac:dyDescent="0.4">
      <c r="A216" s="279"/>
      <c r="B216" s="243"/>
      <c r="C216" s="351"/>
      <c r="D216" s="353"/>
      <c r="E216" s="135" t="s">
        <v>39</v>
      </c>
      <c r="F216" s="135" t="s">
        <v>67</v>
      </c>
      <c r="G216" s="135">
        <v>8</v>
      </c>
      <c r="H216" s="135">
        <v>1</v>
      </c>
      <c r="I216" s="136">
        <v>8</v>
      </c>
      <c r="J216" s="286"/>
      <c r="K216" s="287"/>
      <c r="L216" s="54">
        <v>7</v>
      </c>
      <c r="M216" s="288"/>
      <c r="N216" s="288"/>
      <c r="O216" s="151">
        <v>1</v>
      </c>
      <c r="P216" s="110" t="s">
        <v>232</v>
      </c>
      <c r="Q216" s="111">
        <v>0.33333333333333331</v>
      </c>
      <c r="R216" s="111">
        <v>0.66666666666666663</v>
      </c>
      <c r="S216" s="111"/>
      <c r="T216" s="111"/>
      <c r="U216" s="118"/>
      <c r="V216" s="132"/>
      <c r="W216" s="112"/>
      <c r="X216" s="121"/>
      <c r="Y216" s="122"/>
      <c r="Z216" s="113">
        <f t="shared" si="377"/>
        <v>0</v>
      </c>
      <c r="AA216" s="81">
        <f t="shared" si="378"/>
        <v>0</v>
      </c>
      <c r="AB216" s="112"/>
      <c r="AC216" s="121"/>
      <c r="AD216" s="121"/>
      <c r="AE216" s="123">
        <f t="shared" si="379"/>
        <v>0</v>
      </c>
      <c r="AF216" s="81">
        <f t="shared" si="380"/>
        <v>0</v>
      </c>
      <c r="AG216" s="112"/>
      <c r="AH216" s="121"/>
      <c r="AI216" s="122"/>
      <c r="AJ216" s="113">
        <f t="shared" si="381"/>
        <v>0</v>
      </c>
      <c r="AK216" s="81">
        <f t="shared" si="382"/>
        <v>0</v>
      </c>
      <c r="AL216" s="112"/>
      <c r="AM216" s="121"/>
      <c r="AN216" s="122"/>
      <c r="AO216" s="113">
        <f t="shared" si="383"/>
        <v>0</v>
      </c>
      <c r="AP216" s="81">
        <f t="shared" si="384"/>
        <v>0</v>
      </c>
      <c r="AQ216" s="112"/>
      <c r="AR216" s="121"/>
      <c r="AS216" s="122"/>
      <c r="AT216" s="113">
        <f t="shared" si="385"/>
        <v>0</v>
      </c>
      <c r="AU216" s="81">
        <f t="shared" si="386"/>
        <v>0</v>
      </c>
      <c r="AV216" s="112"/>
      <c r="AW216" s="121"/>
      <c r="AX216" s="122"/>
      <c r="AY216" s="113">
        <f t="shared" si="387"/>
        <v>0</v>
      </c>
      <c r="AZ216" s="81">
        <f t="shared" si="388"/>
        <v>0</v>
      </c>
      <c r="BA216" s="78"/>
      <c r="BB216" s="79">
        <f t="shared" si="389"/>
        <v>0</v>
      </c>
      <c r="BC216" s="115">
        <f>IF(BB216&gt;0, BB216, IF(BB216=0, L216))</f>
        <v>7</v>
      </c>
      <c r="BD216" s="81">
        <f>IF(BA216=1, (BC216-L216), IF(BA216=0, BC216))</f>
        <v>7</v>
      </c>
      <c r="BE216" s="122"/>
    </row>
    <row r="217" spans="1:57" s="31" customFormat="1" ht="17.5" customHeight="1" thickBot="1" x14ac:dyDescent="0.4">
      <c r="A217" s="279"/>
      <c r="B217" s="243"/>
      <c r="C217" s="351"/>
      <c r="D217" s="353"/>
      <c r="E217" s="51" t="s">
        <v>52</v>
      </c>
      <c r="F217" s="51" t="s">
        <v>83</v>
      </c>
      <c r="G217" s="51">
        <v>8</v>
      </c>
      <c r="H217" s="51">
        <v>1</v>
      </c>
      <c r="I217" s="108">
        <f xml:space="preserve"> SUM(G217*H217)</f>
        <v>8</v>
      </c>
      <c r="J217" s="286"/>
      <c r="K217" s="287"/>
      <c r="L217" s="54">
        <v>7</v>
      </c>
      <c r="M217" s="288"/>
      <c r="N217" s="288"/>
      <c r="O217" s="151">
        <v>1</v>
      </c>
      <c r="P217" s="120" t="s">
        <v>233</v>
      </c>
      <c r="Q217" s="111">
        <v>0.54166666666666663</v>
      </c>
      <c r="R217" s="111">
        <v>0.875</v>
      </c>
      <c r="S217" s="111">
        <v>0.29166666666666669</v>
      </c>
      <c r="T217" s="111">
        <v>0.625</v>
      </c>
      <c r="U217" s="118"/>
      <c r="V217" s="132" t="s">
        <v>69</v>
      </c>
      <c r="W217" s="112"/>
      <c r="X217" s="121"/>
      <c r="Y217" s="122"/>
      <c r="Z217" s="113">
        <f t="shared" si="377"/>
        <v>0</v>
      </c>
      <c r="AA217" s="81">
        <f t="shared" si="378"/>
        <v>0</v>
      </c>
      <c r="AB217" s="112"/>
      <c r="AC217" s="121"/>
      <c r="AD217" s="121"/>
      <c r="AE217" s="123">
        <f t="shared" si="379"/>
        <v>0</v>
      </c>
      <c r="AF217" s="81">
        <f t="shared" si="380"/>
        <v>0</v>
      </c>
      <c r="AG217" s="112"/>
      <c r="AH217" s="121"/>
      <c r="AI217" s="122"/>
      <c r="AJ217" s="113">
        <f t="shared" si="381"/>
        <v>0</v>
      </c>
      <c r="AK217" s="81">
        <f t="shared" si="382"/>
        <v>0</v>
      </c>
      <c r="AL217" s="112"/>
      <c r="AM217" s="121"/>
      <c r="AN217" s="122"/>
      <c r="AO217" s="113">
        <f t="shared" si="383"/>
        <v>0</v>
      </c>
      <c r="AP217" s="81">
        <f t="shared" si="384"/>
        <v>0</v>
      </c>
      <c r="AQ217" s="112"/>
      <c r="AR217" s="121"/>
      <c r="AS217" s="122"/>
      <c r="AT217" s="113">
        <f t="shared" si="385"/>
        <v>0</v>
      </c>
      <c r="AU217" s="81">
        <f t="shared" si="386"/>
        <v>0</v>
      </c>
      <c r="AV217" s="112"/>
      <c r="AW217" s="121"/>
      <c r="AX217" s="122"/>
      <c r="AY217" s="113">
        <f t="shared" si="387"/>
        <v>0</v>
      </c>
      <c r="AZ217" s="81">
        <f t="shared" si="388"/>
        <v>0</v>
      </c>
      <c r="BA217" s="78"/>
      <c r="BB217" s="79">
        <f t="shared" si="389"/>
        <v>0</v>
      </c>
      <c r="BC217" s="115">
        <f>IF(BB217&gt;0, BB217, IF(BB217=0, L217))</f>
        <v>7</v>
      </c>
      <c r="BD217" s="81">
        <f>IF(BA217=1, (BC217-L217), IF(BA217=0, BC217))</f>
        <v>7</v>
      </c>
      <c r="BE217" s="122"/>
    </row>
    <row r="218" spans="1:57" s="31" customFormat="1" ht="17.5" customHeight="1" thickBot="1" x14ac:dyDescent="0.4">
      <c r="A218" s="279"/>
      <c r="B218" s="244"/>
      <c r="C218" s="351"/>
      <c r="D218" s="353"/>
      <c r="E218" s="258" t="s">
        <v>234</v>
      </c>
      <c r="F218" s="259"/>
      <c r="G218" s="92"/>
      <c r="H218" s="141">
        <f>SUM(H215:H217)</f>
        <v>3</v>
      </c>
      <c r="I218" s="94">
        <f>SUM(I215:I217)</f>
        <v>24</v>
      </c>
      <c r="J218" s="286"/>
      <c r="K218" s="287"/>
      <c r="L218" s="95">
        <f>SUM(L215:L217)</f>
        <v>21</v>
      </c>
      <c r="M218" s="288"/>
      <c r="N218" s="288"/>
      <c r="O218" s="153"/>
      <c r="P218" s="198"/>
      <c r="Q218" s="68"/>
      <c r="R218" s="68"/>
      <c r="S218" s="68"/>
      <c r="T218" s="68"/>
      <c r="U218" s="209"/>
      <c r="V218" s="199"/>
      <c r="W218" s="200"/>
      <c r="X218" s="201"/>
      <c r="Y218" s="202"/>
      <c r="Z218" s="203"/>
      <c r="AA218" s="203"/>
      <c r="AB218" s="200"/>
      <c r="AC218" s="201"/>
      <c r="AD218" s="201"/>
      <c r="AE218" s="204"/>
      <c r="AF218" s="203"/>
      <c r="AG218" s="200"/>
      <c r="AH218" s="201"/>
      <c r="AI218" s="202"/>
      <c r="AJ218" s="203"/>
      <c r="AK218" s="203"/>
      <c r="AL218" s="200"/>
      <c r="AM218" s="201"/>
      <c r="AN218" s="202"/>
      <c r="AO218" s="203"/>
      <c r="AP218" s="203"/>
      <c r="AQ218" s="200"/>
      <c r="AR218" s="201"/>
      <c r="AS218" s="202"/>
      <c r="AT218" s="203"/>
      <c r="AU218" s="203"/>
      <c r="AV218" s="200"/>
      <c r="AW218" s="201"/>
      <c r="AX218" s="202"/>
      <c r="AY218" s="203"/>
      <c r="AZ218" s="203"/>
      <c r="BA218" s="206"/>
      <c r="BB218" s="223"/>
      <c r="BC218" s="197"/>
      <c r="BD218" s="228">
        <f>SUM(BD215:BD217)</f>
        <v>21</v>
      </c>
      <c r="BE218" s="202"/>
    </row>
    <row r="219" spans="1:57" s="31" customFormat="1" ht="17.5" customHeight="1" thickBot="1" x14ac:dyDescent="0.4">
      <c r="A219" s="279"/>
      <c r="B219" s="242"/>
      <c r="C219" s="351"/>
      <c r="D219" s="353" t="s">
        <v>62</v>
      </c>
      <c r="E219" s="135" t="s">
        <v>121</v>
      </c>
      <c r="F219" s="135" t="s">
        <v>235</v>
      </c>
      <c r="G219" s="135">
        <v>5</v>
      </c>
      <c r="H219" s="135">
        <v>1</v>
      </c>
      <c r="I219" s="136">
        <v>5</v>
      </c>
      <c r="J219" s="286">
        <f xml:space="preserve"> I222/8*2</f>
        <v>5.25</v>
      </c>
      <c r="K219" s="287" t="s">
        <v>236</v>
      </c>
      <c r="L219" s="54">
        <v>5</v>
      </c>
      <c r="M219" s="288">
        <f>L222/8</f>
        <v>2.375</v>
      </c>
      <c r="N219" s="288">
        <f>SUM(BD219:BD221)/8</f>
        <v>2.375</v>
      </c>
      <c r="O219" s="151">
        <v>1</v>
      </c>
      <c r="P219" s="120"/>
      <c r="Q219" s="111"/>
      <c r="R219" s="111"/>
      <c r="S219" s="111"/>
      <c r="T219" s="111"/>
      <c r="U219" s="118"/>
      <c r="V219" s="132"/>
      <c r="W219" s="112"/>
      <c r="X219" s="121"/>
      <c r="Y219" s="122"/>
      <c r="Z219" s="113">
        <f t="shared" ref="Z219:Z221" si="390">(Y219-X219)*24</f>
        <v>0</v>
      </c>
      <c r="AA219" s="81">
        <f t="shared" ref="AA219:AA221" si="391">IF(Z219&gt;=6, (Z219-1), IF(Z219&lt;6, Z219))</f>
        <v>0</v>
      </c>
      <c r="AB219" s="112"/>
      <c r="AC219" s="121"/>
      <c r="AD219" s="121"/>
      <c r="AE219" s="123">
        <f t="shared" ref="AE219:AE221" si="392">(AD219-AC219)*24</f>
        <v>0</v>
      </c>
      <c r="AF219" s="81">
        <f t="shared" ref="AF219:AF221" si="393">IF(AE219&gt;=6, (AE219-1), IF(AE219&lt;6, AE219))</f>
        <v>0</v>
      </c>
      <c r="AG219" s="112"/>
      <c r="AH219" s="121"/>
      <c r="AI219" s="122"/>
      <c r="AJ219" s="113">
        <f t="shared" ref="AJ219:AJ221" si="394">(AI219-AH219)*24</f>
        <v>0</v>
      </c>
      <c r="AK219" s="81">
        <f t="shared" ref="AK219:AK221" si="395">IF(AJ219&gt;=6, (AJ219-1), IF(AJ219&lt;6, AJ219))</f>
        <v>0</v>
      </c>
      <c r="AL219" s="112"/>
      <c r="AM219" s="121"/>
      <c r="AN219" s="122"/>
      <c r="AO219" s="113">
        <f t="shared" ref="AO219:AO221" si="396">(AN219-AM219)*24</f>
        <v>0</v>
      </c>
      <c r="AP219" s="81">
        <f t="shared" ref="AP219:AP221" si="397">IF(AO219&gt;=6, (AO219-1), IF(AO219&lt;6, AO219))</f>
        <v>0</v>
      </c>
      <c r="AQ219" s="112"/>
      <c r="AR219" s="121"/>
      <c r="AS219" s="122"/>
      <c r="AT219" s="113">
        <f t="shared" ref="AT219:AT221" si="398">(AS219-AR219)*24</f>
        <v>0</v>
      </c>
      <c r="AU219" s="81">
        <f t="shared" ref="AU219:AU221" si="399">IF(AT219&gt;=6, (AT219-1), IF(AT219&lt;6, AT219))</f>
        <v>0</v>
      </c>
      <c r="AV219" s="112"/>
      <c r="AW219" s="121"/>
      <c r="AX219" s="122"/>
      <c r="AY219" s="113">
        <f t="shared" ref="AY219:AY221" si="400">(AX219-AW219)*24</f>
        <v>0</v>
      </c>
      <c r="AZ219" s="81">
        <f t="shared" ref="AZ219:AZ221" si="401">IF(AY219&gt;=6, (AY219-1), IF(AY219&lt;6, AY219))</f>
        <v>0</v>
      </c>
      <c r="BA219" s="78"/>
      <c r="BB219" s="79">
        <f t="shared" si="389"/>
        <v>0</v>
      </c>
      <c r="BC219" s="115">
        <f>IF(BB219&gt;0, BB219, IF(BB219=0, L219))</f>
        <v>5</v>
      </c>
      <c r="BD219" s="81">
        <f>IF(BA219=1, (BC219-L219), IF(BA219=0, BC219))</f>
        <v>5</v>
      </c>
      <c r="BE219" s="122"/>
    </row>
    <row r="220" spans="1:57" s="31" customFormat="1" ht="17.5" customHeight="1" thickBot="1" x14ac:dyDescent="0.4">
      <c r="A220" s="279"/>
      <c r="B220" s="243"/>
      <c r="C220" s="351"/>
      <c r="D220" s="353"/>
      <c r="E220" s="135" t="s">
        <v>39</v>
      </c>
      <c r="F220" s="135" t="s">
        <v>67</v>
      </c>
      <c r="G220" s="135">
        <v>8</v>
      </c>
      <c r="H220" s="135">
        <v>1</v>
      </c>
      <c r="I220" s="136">
        <v>8</v>
      </c>
      <c r="J220" s="286"/>
      <c r="K220" s="287"/>
      <c r="L220" s="54">
        <v>7</v>
      </c>
      <c r="M220" s="288"/>
      <c r="N220" s="288"/>
      <c r="O220" s="151">
        <v>1</v>
      </c>
      <c r="P220" s="120"/>
      <c r="Q220" s="111"/>
      <c r="R220" s="111"/>
      <c r="S220" s="111"/>
      <c r="T220" s="111"/>
      <c r="U220" s="118"/>
      <c r="V220" s="132"/>
      <c r="W220" s="112"/>
      <c r="X220" s="121"/>
      <c r="Y220" s="122"/>
      <c r="Z220" s="113">
        <f t="shared" si="390"/>
        <v>0</v>
      </c>
      <c r="AA220" s="81">
        <f t="shared" si="391"/>
        <v>0</v>
      </c>
      <c r="AB220" s="112"/>
      <c r="AC220" s="121"/>
      <c r="AD220" s="121"/>
      <c r="AE220" s="123">
        <f t="shared" si="392"/>
        <v>0</v>
      </c>
      <c r="AF220" s="81">
        <f t="shared" si="393"/>
        <v>0</v>
      </c>
      <c r="AG220" s="112"/>
      <c r="AH220" s="121"/>
      <c r="AI220" s="122"/>
      <c r="AJ220" s="113">
        <f t="shared" si="394"/>
        <v>0</v>
      </c>
      <c r="AK220" s="81">
        <f t="shared" si="395"/>
        <v>0</v>
      </c>
      <c r="AL220" s="112"/>
      <c r="AM220" s="121"/>
      <c r="AN220" s="122"/>
      <c r="AO220" s="113">
        <f t="shared" si="396"/>
        <v>0</v>
      </c>
      <c r="AP220" s="81">
        <f t="shared" si="397"/>
        <v>0</v>
      </c>
      <c r="AQ220" s="112"/>
      <c r="AR220" s="121"/>
      <c r="AS220" s="122"/>
      <c r="AT220" s="113">
        <f t="shared" si="398"/>
        <v>0</v>
      </c>
      <c r="AU220" s="81">
        <f t="shared" si="399"/>
        <v>0</v>
      </c>
      <c r="AV220" s="112"/>
      <c r="AW220" s="121"/>
      <c r="AX220" s="122"/>
      <c r="AY220" s="113">
        <f t="shared" si="400"/>
        <v>0</v>
      </c>
      <c r="AZ220" s="81">
        <f t="shared" si="401"/>
        <v>0</v>
      </c>
      <c r="BA220" s="78"/>
      <c r="BB220" s="79">
        <f t="shared" si="389"/>
        <v>0</v>
      </c>
      <c r="BC220" s="115">
        <f>IF(BB220&gt;0, BB220, IF(BB220=0, L220))</f>
        <v>7</v>
      </c>
      <c r="BD220" s="81">
        <f>IF(BA220=1, (BC220-L220), IF(BA220=0, BC220))</f>
        <v>7</v>
      </c>
      <c r="BE220" s="122"/>
    </row>
    <row r="221" spans="1:57" s="31" customFormat="1" ht="17.5" customHeight="1" thickBot="1" x14ac:dyDescent="0.4">
      <c r="A221" s="279"/>
      <c r="B221" s="243"/>
      <c r="C221" s="351"/>
      <c r="D221" s="353"/>
      <c r="E221" s="51" t="s">
        <v>52</v>
      </c>
      <c r="F221" s="51" t="s">
        <v>83</v>
      </c>
      <c r="G221" s="51">
        <v>8</v>
      </c>
      <c r="H221" s="51">
        <v>1</v>
      </c>
      <c r="I221" s="108">
        <f xml:space="preserve"> SUM(G221*H221)</f>
        <v>8</v>
      </c>
      <c r="J221" s="286"/>
      <c r="K221" s="287"/>
      <c r="L221" s="54">
        <v>7</v>
      </c>
      <c r="M221" s="288"/>
      <c r="N221" s="288"/>
      <c r="O221" s="151">
        <v>1</v>
      </c>
      <c r="P221" s="120" t="s">
        <v>59</v>
      </c>
      <c r="Q221" s="111"/>
      <c r="R221" s="111"/>
      <c r="S221" s="111"/>
      <c r="T221" s="111"/>
      <c r="U221" s="118"/>
      <c r="V221" s="132"/>
      <c r="W221" s="112"/>
      <c r="X221" s="121"/>
      <c r="Y221" s="122"/>
      <c r="Z221" s="113">
        <f t="shared" si="390"/>
        <v>0</v>
      </c>
      <c r="AA221" s="81">
        <f t="shared" si="391"/>
        <v>0</v>
      </c>
      <c r="AB221" s="112"/>
      <c r="AC221" s="121"/>
      <c r="AD221" s="121"/>
      <c r="AE221" s="123">
        <f t="shared" si="392"/>
        <v>0</v>
      </c>
      <c r="AF221" s="81">
        <f t="shared" si="393"/>
        <v>0</v>
      </c>
      <c r="AG221" s="112"/>
      <c r="AH221" s="121"/>
      <c r="AI221" s="122"/>
      <c r="AJ221" s="113">
        <f t="shared" si="394"/>
        <v>0</v>
      </c>
      <c r="AK221" s="81">
        <f t="shared" si="395"/>
        <v>0</v>
      </c>
      <c r="AL221" s="112"/>
      <c r="AM221" s="121"/>
      <c r="AN221" s="122"/>
      <c r="AO221" s="113">
        <f t="shared" si="396"/>
        <v>0</v>
      </c>
      <c r="AP221" s="81">
        <f t="shared" si="397"/>
        <v>0</v>
      </c>
      <c r="AQ221" s="112"/>
      <c r="AR221" s="121"/>
      <c r="AS221" s="122"/>
      <c r="AT221" s="113">
        <f t="shared" si="398"/>
        <v>0</v>
      </c>
      <c r="AU221" s="81">
        <f t="shared" si="399"/>
        <v>0</v>
      </c>
      <c r="AV221" s="112"/>
      <c r="AW221" s="121"/>
      <c r="AX221" s="122"/>
      <c r="AY221" s="113">
        <f t="shared" si="400"/>
        <v>0</v>
      </c>
      <c r="AZ221" s="81">
        <f t="shared" si="401"/>
        <v>0</v>
      </c>
      <c r="BA221" s="78"/>
      <c r="BB221" s="79">
        <f t="shared" si="389"/>
        <v>0</v>
      </c>
      <c r="BC221" s="115">
        <f>IF(BB221&gt;0, BB221, IF(BB221=0, L221))</f>
        <v>7</v>
      </c>
      <c r="BD221" s="81">
        <f>IF(BA221=1, (BC221-L221), IF(BA221=0, BC221))</f>
        <v>7</v>
      </c>
      <c r="BE221" s="122"/>
    </row>
    <row r="222" spans="1:57" s="31" customFormat="1" ht="17.5" customHeight="1" x14ac:dyDescent="0.35">
      <c r="A222" s="280"/>
      <c r="B222" s="244"/>
      <c r="C222" s="352"/>
      <c r="D222" s="353"/>
      <c r="E222" s="258" t="s">
        <v>237</v>
      </c>
      <c r="F222" s="259"/>
      <c r="G222" s="92"/>
      <c r="H222" s="141">
        <f>SUM(H219:H221)</f>
        <v>3</v>
      </c>
      <c r="I222" s="94">
        <f>SUM(I219:I221)</f>
        <v>21</v>
      </c>
      <c r="J222" s="286"/>
      <c r="K222" s="287"/>
      <c r="L222" s="95">
        <f>SUM(L219:L221)</f>
        <v>19</v>
      </c>
      <c r="M222" s="288"/>
      <c r="N222" s="288"/>
      <c r="O222" s="153"/>
      <c r="P222" s="198"/>
      <c r="Q222" s="68"/>
      <c r="R222" s="68"/>
      <c r="S222" s="68"/>
      <c r="T222" s="68"/>
      <c r="U222" s="209"/>
      <c r="V222" s="199"/>
      <c r="W222" s="200"/>
      <c r="X222" s="201"/>
      <c r="Y222" s="202"/>
      <c r="Z222" s="203"/>
      <c r="AA222" s="203"/>
      <c r="AB222" s="200"/>
      <c r="AC222" s="201"/>
      <c r="AD222" s="201"/>
      <c r="AE222" s="204"/>
      <c r="AF222" s="203"/>
      <c r="AG222" s="200"/>
      <c r="AH222" s="201"/>
      <c r="AI222" s="202"/>
      <c r="AJ222" s="203"/>
      <c r="AK222" s="203"/>
      <c r="AL222" s="200"/>
      <c r="AM222" s="201"/>
      <c r="AN222" s="202"/>
      <c r="AO222" s="203"/>
      <c r="AP222" s="203"/>
      <c r="AQ222" s="200"/>
      <c r="AR222" s="201"/>
      <c r="AS222" s="202"/>
      <c r="AT222" s="203"/>
      <c r="AU222" s="203"/>
      <c r="AV222" s="200"/>
      <c r="AW222" s="201"/>
      <c r="AX222" s="202"/>
      <c r="AY222" s="203"/>
      <c r="AZ222" s="203"/>
      <c r="BA222" s="204"/>
      <c r="BB222" s="224"/>
      <c r="BC222" s="203"/>
      <c r="BD222" s="228">
        <f>SUM(BD219:BD221)</f>
        <v>19</v>
      </c>
      <c r="BE222" s="202"/>
    </row>
    <row r="223" spans="1:57" s="31" customFormat="1" ht="17.5" customHeight="1" thickBot="1" x14ac:dyDescent="0.4">
      <c r="A223" s="100"/>
      <c r="B223" s="101"/>
      <c r="C223" s="102"/>
      <c r="D223" s="102"/>
      <c r="E223" s="101"/>
      <c r="F223" s="101"/>
      <c r="G223" s="101"/>
      <c r="H223" s="101"/>
      <c r="I223" s="101"/>
      <c r="J223" s="102"/>
      <c r="K223" s="103"/>
      <c r="L223" s="104"/>
      <c r="M223" s="105"/>
      <c r="N223" s="105"/>
      <c r="O223" s="99"/>
      <c r="P223" s="198"/>
      <c r="Q223" s="68"/>
      <c r="R223" s="68"/>
      <c r="S223" s="68"/>
      <c r="T223" s="68"/>
      <c r="U223" s="209"/>
      <c r="V223" s="199"/>
      <c r="W223" s="200"/>
      <c r="X223" s="201"/>
      <c r="Y223" s="202"/>
      <c r="Z223" s="203"/>
      <c r="AA223" s="203"/>
      <c r="AB223" s="200"/>
      <c r="AC223" s="201"/>
      <c r="AD223" s="201"/>
      <c r="AE223" s="204"/>
      <c r="AF223" s="203"/>
      <c r="AG223" s="200"/>
      <c r="AH223" s="201"/>
      <c r="AI223" s="202"/>
      <c r="AJ223" s="203"/>
      <c r="AK223" s="203"/>
      <c r="AL223" s="200"/>
      <c r="AM223" s="201"/>
      <c r="AN223" s="202"/>
      <c r="AO223" s="203"/>
      <c r="AP223" s="203"/>
      <c r="AQ223" s="200"/>
      <c r="AR223" s="201"/>
      <c r="AS223" s="202"/>
      <c r="AT223" s="203"/>
      <c r="AU223" s="203"/>
      <c r="AV223" s="200"/>
      <c r="AW223" s="201"/>
      <c r="AX223" s="202"/>
      <c r="AY223" s="203"/>
      <c r="AZ223" s="203"/>
      <c r="BA223" s="206"/>
      <c r="BB223" s="223"/>
      <c r="BC223" s="194"/>
      <c r="BD223" s="208"/>
      <c r="BE223" s="202"/>
    </row>
    <row r="224" spans="1:57" s="31" customFormat="1" ht="17.5" customHeight="1" thickBot="1" x14ac:dyDescent="0.4">
      <c r="A224" s="278">
        <v>22</v>
      </c>
      <c r="B224" s="242" t="s">
        <v>36</v>
      </c>
      <c r="C224" s="350" t="s">
        <v>238</v>
      </c>
      <c r="D224" s="353" t="s">
        <v>62</v>
      </c>
      <c r="E224" s="51" t="s">
        <v>121</v>
      </c>
      <c r="F224" s="51" t="s">
        <v>92</v>
      </c>
      <c r="G224" s="51">
        <v>8</v>
      </c>
      <c r="H224" s="51">
        <v>1</v>
      </c>
      <c r="I224" s="108">
        <f xml:space="preserve"> SUM(G224*H224)</f>
        <v>8</v>
      </c>
      <c r="J224" s="286">
        <f xml:space="preserve"> I227/8</f>
        <v>3</v>
      </c>
      <c r="K224" s="287" t="s">
        <v>63</v>
      </c>
      <c r="L224" s="54">
        <v>7</v>
      </c>
      <c r="M224" s="288">
        <f>L227/8</f>
        <v>2.625</v>
      </c>
      <c r="N224" s="267">
        <f>SUM(BD224:BD226)/8</f>
        <v>2.625</v>
      </c>
      <c r="O224" s="151">
        <v>1</v>
      </c>
      <c r="P224" s="110" t="s">
        <v>239</v>
      </c>
      <c r="Q224" s="111">
        <v>0.29166666666666669</v>
      </c>
      <c r="R224" s="111">
        <v>0.625</v>
      </c>
      <c r="S224" s="111"/>
      <c r="T224" s="111"/>
      <c r="U224" s="118"/>
      <c r="V224" s="132" t="s">
        <v>69</v>
      </c>
      <c r="W224" s="112"/>
      <c r="X224" s="121"/>
      <c r="Y224" s="122"/>
      <c r="Z224" s="113">
        <f t="shared" ref="Z224:Z226" si="402">(Y224-X224)*24</f>
        <v>0</v>
      </c>
      <c r="AA224" s="81">
        <f t="shared" ref="AA224:AA226" si="403">IF(Z224&gt;=6, (Z224-1), IF(Z224&lt;6, Z224))</f>
        <v>0</v>
      </c>
      <c r="AB224" s="112"/>
      <c r="AC224" s="121"/>
      <c r="AD224" s="121"/>
      <c r="AE224" s="123">
        <f t="shared" ref="AE224:AE226" si="404">(AD224-AC224)*24</f>
        <v>0</v>
      </c>
      <c r="AF224" s="81">
        <f t="shared" ref="AF224:AF226" si="405">IF(AE224&gt;=6, (AE224-1), IF(AE224&lt;6, AE224))</f>
        <v>0</v>
      </c>
      <c r="AG224" s="112"/>
      <c r="AH224" s="121"/>
      <c r="AI224" s="122"/>
      <c r="AJ224" s="113">
        <f t="shared" ref="AJ224:AJ226" si="406">(AI224-AH224)*24</f>
        <v>0</v>
      </c>
      <c r="AK224" s="81">
        <f t="shared" ref="AK224:AK226" si="407">IF(AJ224&gt;=6, (AJ224-1), IF(AJ224&lt;6, AJ224))</f>
        <v>0</v>
      </c>
      <c r="AL224" s="112"/>
      <c r="AM224" s="121"/>
      <c r="AN224" s="122"/>
      <c r="AO224" s="113">
        <f t="shared" ref="AO224:AO226" si="408">(AN224-AM224)*24</f>
        <v>0</v>
      </c>
      <c r="AP224" s="81">
        <f t="shared" ref="AP224:AP226" si="409">IF(AO224&gt;=6, (AO224-1), IF(AO224&lt;6, AO224))</f>
        <v>0</v>
      </c>
      <c r="AQ224" s="112"/>
      <c r="AR224" s="121"/>
      <c r="AS224" s="122"/>
      <c r="AT224" s="113">
        <f t="shared" ref="AT224:AT226" si="410">(AS224-AR224)*24</f>
        <v>0</v>
      </c>
      <c r="AU224" s="81">
        <f t="shared" ref="AU224:AU226" si="411">IF(AT224&gt;=6, (AT224-1), IF(AT224&lt;6, AT224))</f>
        <v>0</v>
      </c>
      <c r="AV224" s="112"/>
      <c r="AW224" s="121"/>
      <c r="AX224" s="122"/>
      <c r="AY224" s="113">
        <f t="shared" ref="AY224:AY226" si="412">(AX224-AW224)*24</f>
        <v>0</v>
      </c>
      <c r="AZ224" s="81">
        <f t="shared" ref="AZ224:AZ226" si="413">IF(AY224&gt;=6, (AY224-1), IF(AY224&lt;6, AY224))</f>
        <v>0</v>
      </c>
      <c r="BA224" s="78"/>
      <c r="BB224" s="79">
        <f t="shared" ref="BB224:BB230" si="414">AA224+AF224+AK224+AP224+AU224+AZ224</f>
        <v>0</v>
      </c>
      <c r="BC224" s="115">
        <f>IF(BB224&gt;0, BB224, IF(BB224=0, L224))</f>
        <v>7</v>
      </c>
      <c r="BD224" s="81">
        <f>IF(BA224=1, (BC224-L224), IF(BA224=0, BC224))</f>
        <v>7</v>
      </c>
      <c r="BE224" s="122"/>
    </row>
    <row r="225" spans="1:57" s="31" customFormat="1" ht="17.5" customHeight="1" thickBot="1" x14ac:dyDescent="0.4">
      <c r="A225" s="279"/>
      <c r="B225" s="243"/>
      <c r="C225" s="351"/>
      <c r="D225" s="353"/>
      <c r="E225" s="135" t="s">
        <v>71</v>
      </c>
      <c r="F225" s="135" t="s">
        <v>58</v>
      </c>
      <c r="G225" s="135">
        <v>8</v>
      </c>
      <c r="H225" s="135">
        <v>1</v>
      </c>
      <c r="I225" s="136">
        <v>8</v>
      </c>
      <c r="J225" s="286"/>
      <c r="K225" s="287"/>
      <c r="L225" s="54">
        <v>7</v>
      </c>
      <c r="M225" s="288"/>
      <c r="N225" s="268"/>
      <c r="O225" s="151">
        <v>1</v>
      </c>
      <c r="P225" s="120" t="s">
        <v>240</v>
      </c>
      <c r="Q225" s="111">
        <v>0.375</v>
      </c>
      <c r="R225" s="111">
        <v>0.70833333333333337</v>
      </c>
      <c r="S225" s="111"/>
      <c r="T225" s="111"/>
      <c r="U225" s="118"/>
      <c r="V225" s="132" t="s">
        <v>65</v>
      </c>
      <c r="W225" s="112"/>
      <c r="X225" s="121"/>
      <c r="Y225" s="122"/>
      <c r="Z225" s="113">
        <f t="shared" si="402"/>
        <v>0</v>
      </c>
      <c r="AA225" s="81">
        <f t="shared" si="403"/>
        <v>0</v>
      </c>
      <c r="AB225" s="112"/>
      <c r="AC225" s="121"/>
      <c r="AD225" s="121"/>
      <c r="AE225" s="123">
        <f t="shared" si="404"/>
        <v>0</v>
      </c>
      <c r="AF225" s="81">
        <f t="shared" si="405"/>
        <v>0</v>
      </c>
      <c r="AG225" s="112"/>
      <c r="AH225" s="121"/>
      <c r="AI225" s="122"/>
      <c r="AJ225" s="113">
        <f t="shared" si="406"/>
        <v>0</v>
      </c>
      <c r="AK225" s="81">
        <f t="shared" si="407"/>
        <v>0</v>
      </c>
      <c r="AL225" s="112"/>
      <c r="AM225" s="121"/>
      <c r="AN225" s="122"/>
      <c r="AO225" s="113">
        <f t="shared" si="408"/>
        <v>0</v>
      </c>
      <c r="AP225" s="81">
        <f t="shared" si="409"/>
        <v>0</v>
      </c>
      <c r="AQ225" s="112"/>
      <c r="AR225" s="121"/>
      <c r="AS225" s="122"/>
      <c r="AT225" s="113">
        <f t="shared" si="410"/>
        <v>0</v>
      </c>
      <c r="AU225" s="81">
        <f t="shared" si="411"/>
        <v>0</v>
      </c>
      <c r="AV225" s="112"/>
      <c r="AW225" s="121"/>
      <c r="AX225" s="122"/>
      <c r="AY225" s="113">
        <f t="shared" si="412"/>
        <v>0</v>
      </c>
      <c r="AZ225" s="81">
        <f t="shared" si="413"/>
        <v>0</v>
      </c>
      <c r="BA225" s="78"/>
      <c r="BB225" s="79">
        <f t="shared" si="414"/>
        <v>0</v>
      </c>
      <c r="BC225" s="115">
        <f>IF(BB225&gt;0, BB225, IF(BB225=0, L225))</f>
        <v>7</v>
      </c>
      <c r="BD225" s="81">
        <f>IF(BA225=1, (BC225-L225), IF(BA225=0, BC225))</f>
        <v>7</v>
      </c>
      <c r="BE225" s="122"/>
    </row>
    <row r="226" spans="1:57" s="31" customFormat="1" ht="17.5" customHeight="1" thickBot="1" x14ac:dyDescent="0.4">
      <c r="A226" s="279"/>
      <c r="B226" s="243"/>
      <c r="C226" s="351"/>
      <c r="D226" s="353"/>
      <c r="E226" s="135" t="s">
        <v>52</v>
      </c>
      <c r="F226" s="135" t="s">
        <v>83</v>
      </c>
      <c r="G226" s="135">
        <v>8</v>
      </c>
      <c r="H226" s="135">
        <v>1</v>
      </c>
      <c r="I226" s="136">
        <f xml:space="preserve"> SUM(G226*H226)</f>
        <v>8</v>
      </c>
      <c r="J226" s="286"/>
      <c r="K226" s="287"/>
      <c r="L226" s="54">
        <v>7</v>
      </c>
      <c r="M226" s="288"/>
      <c r="N226" s="268"/>
      <c r="O226" s="151">
        <v>1</v>
      </c>
      <c r="P226" s="110" t="s">
        <v>241</v>
      </c>
      <c r="Q226" s="111">
        <v>0.54166666666666663</v>
      </c>
      <c r="R226" s="111">
        <v>0.875</v>
      </c>
      <c r="S226" s="111">
        <v>0.29166666666666669</v>
      </c>
      <c r="T226" s="111">
        <v>0.625</v>
      </c>
      <c r="U226" s="118"/>
      <c r="V226" s="132" t="s">
        <v>188</v>
      </c>
      <c r="W226" s="112"/>
      <c r="X226" s="121"/>
      <c r="Y226" s="122"/>
      <c r="Z226" s="113">
        <f t="shared" si="402"/>
        <v>0</v>
      </c>
      <c r="AA226" s="81">
        <f t="shared" si="403"/>
        <v>0</v>
      </c>
      <c r="AB226" s="112"/>
      <c r="AC226" s="121"/>
      <c r="AD226" s="121"/>
      <c r="AE226" s="123">
        <f t="shared" si="404"/>
        <v>0</v>
      </c>
      <c r="AF226" s="81">
        <f t="shared" si="405"/>
        <v>0</v>
      </c>
      <c r="AG226" s="112"/>
      <c r="AH226" s="121"/>
      <c r="AI226" s="122"/>
      <c r="AJ226" s="113">
        <f t="shared" si="406"/>
        <v>0</v>
      </c>
      <c r="AK226" s="81">
        <f t="shared" si="407"/>
        <v>0</v>
      </c>
      <c r="AL226" s="112"/>
      <c r="AM226" s="121"/>
      <c r="AN226" s="122"/>
      <c r="AO226" s="113">
        <f t="shared" si="408"/>
        <v>0</v>
      </c>
      <c r="AP226" s="81">
        <f t="shared" si="409"/>
        <v>0</v>
      </c>
      <c r="AQ226" s="112"/>
      <c r="AR226" s="121"/>
      <c r="AS226" s="122"/>
      <c r="AT226" s="113">
        <f t="shared" si="410"/>
        <v>0</v>
      </c>
      <c r="AU226" s="81">
        <f t="shared" si="411"/>
        <v>0</v>
      </c>
      <c r="AV226" s="112"/>
      <c r="AW226" s="121"/>
      <c r="AX226" s="122"/>
      <c r="AY226" s="113">
        <f t="shared" si="412"/>
        <v>0</v>
      </c>
      <c r="AZ226" s="81">
        <f t="shared" si="413"/>
        <v>0</v>
      </c>
      <c r="BA226" s="78"/>
      <c r="BB226" s="79">
        <f t="shared" si="414"/>
        <v>0</v>
      </c>
      <c r="BC226" s="115">
        <f>IF(BB226&gt;0, BB226, IF(BB226=0, L226))</f>
        <v>7</v>
      </c>
      <c r="BD226" s="81">
        <f>IF(BA226=1, (BC226-L226), IF(BA226=0, BC226))</f>
        <v>7</v>
      </c>
      <c r="BE226" s="122"/>
    </row>
    <row r="227" spans="1:57" s="31" customFormat="1" ht="17.5" customHeight="1" thickBot="1" x14ac:dyDescent="0.4">
      <c r="A227" s="279"/>
      <c r="B227" s="244"/>
      <c r="C227" s="351"/>
      <c r="D227" s="353"/>
      <c r="E227" s="258" t="s">
        <v>234</v>
      </c>
      <c r="F227" s="259"/>
      <c r="G227" s="92"/>
      <c r="H227" s="141">
        <f>SUM(H224:H226)</f>
        <v>3</v>
      </c>
      <c r="I227" s="94">
        <f>SUM(I224:I226)</f>
        <v>24</v>
      </c>
      <c r="J227" s="286"/>
      <c r="K227" s="287"/>
      <c r="L227" s="95">
        <f>SUM(L224:L226)</f>
        <v>21</v>
      </c>
      <c r="M227" s="288"/>
      <c r="N227" s="269"/>
      <c r="O227" s="153"/>
      <c r="P227" s="198"/>
      <c r="Q227" s="68"/>
      <c r="R227" s="68"/>
      <c r="S227" s="68"/>
      <c r="T227" s="68"/>
      <c r="U227" s="209"/>
      <c r="V227" s="199"/>
      <c r="W227" s="200"/>
      <c r="X227" s="201"/>
      <c r="Y227" s="202"/>
      <c r="Z227" s="203"/>
      <c r="AA227" s="203"/>
      <c r="AB227" s="200"/>
      <c r="AC227" s="201"/>
      <c r="AD227" s="201"/>
      <c r="AE227" s="204"/>
      <c r="AF227" s="203"/>
      <c r="AG227" s="200"/>
      <c r="AH227" s="201"/>
      <c r="AI227" s="202"/>
      <c r="AJ227" s="203"/>
      <c r="AK227" s="203"/>
      <c r="AL227" s="200"/>
      <c r="AM227" s="201"/>
      <c r="AN227" s="202"/>
      <c r="AO227" s="203"/>
      <c r="AP227" s="203"/>
      <c r="AQ227" s="200"/>
      <c r="AR227" s="201"/>
      <c r="AS227" s="202"/>
      <c r="AT227" s="203"/>
      <c r="AU227" s="203"/>
      <c r="AV227" s="200"/>
      <c r="AW227" s="201"/>
      <c r="AX227" s="202"/>
      <c r="AY227" s="203"/>
      <c r="AZ227" s="203"/>
      <c r="BA227" s="206"/>
      <c r="BB227" s="223"/>
      <c r="BC227" s="197"/>
      <c r="BD227" s="228">
        <f>SUM(BD224:BD226)</f>
        <v>21</v>
      </c>
      <c r="BE227" s="202"/>
    </row>
    <row r="228" spans="1:57" s="31" customFormat="1" ht="17.5" customHeight="1" thickBot="1" x14ac:dyDescent="0.4">
      <c r="A228" s="279"/>
      <c r="B228" s="242"/>
      <c r="C228" s="351"/>
      <c r="D228" s="353" t="s">
        <v>62</v>
      </c>
      <c r="E228" s="135" t="s">
        <v>121</v>
      </c>
      <c r="F228" s="135" t="s">
        <v>40</v>
      </c>
      <c r="G228" s="135">
        <v>5</v>
      </c>
      <c r="H228" s="135">
        <v>1</v>
      </c>
      <c r="I228" s="136">
        <v>5</v>
      </c>
      <c r="J228" s="286">
        <f xml:space="preserve"> I231/8*2</f>
        <v>5.25</v>
      </c>
      <c r="K228" s="287" t="s">
        <v>236</v>
      </c>
      <c r="L228" s="54">
        <v>5</v>
      </c>
      <c r="M228" s="288">
        <f>L231/8</f>
        <v>2.375</v>
      </c>
      <c r="N228" s="288">
        <f>SUM(BD228:BD230)/8</f>
        <v>2.375</v>
      </c>
      <c r="O228" s="151">
        <v>1</v>
      </c>
      <c r="P228" s="74" t="s">
        <v>130</v>
      </c>
      <c r="Q228" s="26">
        <v>0.29166666666666669</v>
      </c>
      <c r="R228" s="26">
        <v>0.625</v>
      </c>
      <c r="S228" s="111"/>
      <c r="T228" s="111"/>
      <c r="U228" s="118"/>
      <c r="V228" s="132" t="s">
        <v>69</v>
      </c>
      <c r="W228" s="112"/>
      <c r="X228" s="121"/>
      <c r="Y228" s="122"/>
      <c r="Z228" s="113">
        <f t="shared" ref="Z228:Z230" si="415">(Y228-X228)*24</f>
        <v>0</v>
      </c>
      <c r="AA228" s="81">
        <f t="shared" ref="AA228:AA230" si="416">IF(Z228&gt;=6, (Z228-1), IF(Z228&lt;6, Z228))</f>
        <v>0</v>
      </c>
      <c r="AB228" s="112"/>
      <c r="AC228" s="121"/>
      <c r="AD228" s="121"/>
      <c r="AE228" s="123">
        <f t="shared" ref="AE228:AE230" si="417">(AD228-AC228)*24</f>
        <v>0</v>
      </c>
      <c r="AF228" s="81">
        <f t="shared" ref="AF228:AF230" si="418">IF(AE228&gt;=6, (AE228-1), IF(AE228&lt;6, AE228))</f>
        <v>0</v>
      </c>
      <c r="AG228" s="112"/>
      <c r="AH228" s="121"/>
      <c r="AI228" s="122"/>
      <c r="AJ228" s="113">
        <f t="shared" ref="AJ228:AJ230" si="419">(AI228-AH228)*24</f>
        <v>0</v>
      </c>
      <c r="AK228" s="81">
        <f t="shared" ref="AK228:AK230" si="420">IF(AJ228&gt;=6, (AJ228-1), IF(AJ228&lt;6, AJ228))</f>
        <v>0</v>
      </c>
      <c r="AL228" s="112"/>
      <c r="AM228" s="121"/>
      <c r="AN228" s="122"/>
      <c r="AO228" s="113">
        <f t="shared" ref="AO228:AO230" si="421">(AN228-AM228)*24</f>
        <v>0</v>
      </c>
      <c r="AP228" s="81">
        <f t="shared" ref="AP228:AP230" si="422">IF(AO228&gt;=6, (AO228-1), IF(AO228&lt;6, AO228))</f>
        <v>0</v>
      </c>
      <c r="AQ228" s="112"/>
      <c r="AR228" s="121"/>
      <c r="AS228" s="122"/>
      <c r="AT228" s="113">
        <f t="shared" ref="AT228:AT230" si="423">(AS228-AR228)*24</f>
        <v>0</v>
      </c>
      <c r="AU228" s="81">
        <f t="shared" ref="AU228:AU230" si="424">IF(AT228&gt;=6, (AT228-1), IF(AT228&lt;6, AT228))</f>
        <v>0</v>
      </c>
      <c r="AV228" s="112"/>
      <c r="AW228" s="121"/>
      <c r="AX228" s="122"/>
      <c r="AY228" s="113">
        <f t="shared" ref="AY228:AY230" si="425">(AX228-AW228)*24</f>
        <v>0</v>
      </c>
      <c r="AZ228" s="81">
        <f t="shared" ref="AZ228:AZ230" si="426">IF(AY228&gt;=6, (AY228-1), IF(AY228&lt;6, AY228))</f>
        <v>0</v>
      </c>
      <c r="BA228" s="78"/>
      <c r="BB228" s="79">
        <f t="shared" si="414"/>
        <v>0</v>
      </c>
      <c r="BC228" s="115">
        <f>IF(BB228&gt;0, BB228, IF(BB228=0, L228))</f>
        <v>5</v>
      </c>
      <c r="BD228" s="81">
        <f>IF(BA228=1, (BC228-L228), IF(BA228=0, BC228))</f>
        <v>5</v>
      </c>
      <c r="BE228" s="122"/>
    </row>
    <row r="229" spans="1:57" s="31" customFormat="1" ht="17.5" customHeight="1" thickBot="1" x14ac:dyDescent="0.4">
      <c r="A229" s="279"/>
      <c r="B229" s="243"/>
      <c r="C229" s="351"/>
      <c r="D229" s="353"/>
      <c r="E229" s="135" t="s">
        <v>71</v>
      </c>
      <c r="F229" s="135" t="s">
        <v>58</v>
      </c>
      <c r="G229" s="135">
        <v>8</v>
      </c>
      <c r="H229" s="135">
        <v>1</v>
      </c>
      <c r="I229" s="136">
        <v>8</v>
      </c>
      <c r="J229" s="286"/>
      <c r="K229" s="287"/>
      <c r="L229" s="54">
        <v>7</v>
      </c>
      <c r="M229" s="288"/>
      <c r="N229" s="288"/>
      <c r="O229" s="151">
        <v>1</v>
      </c>
      <c r="P229" s="120" t="s">
        <v>240</v>
      </c>
      <c r="Q229" s="111">
        <v>0.375</v>
      </c>
      <c r="R229" s="111">
        <v>0.70833333333333337</v>
      </c>
      <c r="S229" s="111"/>
      <c r="T229" s="111"/>
      <c r="U229" s="118"/>
      <c r="V229" s="132" t="s">
        <v>65</v>
      </c>
      <c r="W229" s="112"/>
      <c r="X229" s="121"/>
      <c r="Y229" s="122"/>
      <c r="Z229" s="113">
        <f t="shared" si="415"/>
        <v>0</v>
      </c>
      <c r="AA229" s="81">
        <f t="shared" si="416"/>
        <v>0</v>
      </c>
      <c r="AB229" s="112"/>
      <c r="AC229" s="121"/>
      <c r="AD229" s="121"/>
      <c r="AE229" s="123">
        <f t="shared" si="417"/>
        <v>0</v>
      </c>
      <c r="AF229" s="81">
        <f t="shared" si="418"/>
        <v>0</v>
      </c>
      <c r="AG229" s="112"/>
      <c r="AH229" s="121"/>
      <c r="AI229" s="122"/>
      <c r="AJ229" s="113">
        <f t="shared" si="419"/>
        <v>0</v>
      </c>
      <c r="AK229" s="81">
        <f t="shared" si="420"/>
        <v>0</v>
      </c>
      <c r="AL229" s="112"/>
      <c r="AM229" s="121"/>
      <c r="AN229" s="122"/>
      <c r="AO229" s="113">
        <f t="shared" si="421"/>
        <v>0</v>
      </c>
      <c r="AP229" s="81">
        <f t="shared" si="422"/>
        <v>0</v>
      </c>
      <c r="AQ229" s="112"/>
      <c r="AR229" s="121"/>
      <c r="AS229" s="122"/>
      <c r="AT229" s="113">
        <f t="shared" si="423"/>
        <v>0</v>
      </c>
      <c r="AU229" s="81">
        <f t="shared" si="424"/>
        <v>0</v>
      </c>
      <c r="AV229" s="112"/>
      <c r="AW229" s="121"/>
      <c r="AX229" s="122"/>
      <c r="AY229" s="113">
        <f t="shared" si="425"/>
        <v>0</v>
      </c>
      <c r="AZ229" s="81">
        <f t="shared" si="426"/>
        <v>0</v>
      </c>
      <c r="BA229" s="78"/>
      <c r="BB229" s="79">
        <f t="shared" si="414"/>
        <v>0</v>
      </c>
      <c r="BC229" s="115">
        <f>IF(BB229&gt;0, BB229, IF(BB229=0, L229))</f>
        <v>7</v>
      </c>
      <c r="BD229" s="81">
        <f>IF(BA229=1, (BC229-L229), IF(BA229=0, BC229))</f>
        <v>7</v>
      </c>
      <c r="BE229" s="122"/>
    </row>
    <row r="230" spans="1:57" s="31" customFormat="1" ht="17.5" customHeight="1" thickBot="1" x14ac:dyDescent="0.4">
      <c r="A230" s="279"/>
      <c r="B230" s="243"/>
      <c r="C230" s="351"/>
      <c r="D230" s="353"/>
      <c r="E230" s="51" t="s">
        <v>52</v>
      </c>
      <c r="F230" s="51" t="s">
        <v>83</v>
      </c>
      <c r="G230" s="51">
        <v>8</v>
      </c>
      <c r="H230" s="51">
        <v>1</v>
      </c>
      <c r="I230" s="108">
        <f xml:space="preserve"> SUM(G230*H230)</f>
        <v>8</v>
      </c>
      <c r="J230" s="286"/>
      <c r="K230" s="287"/>
      <c r="L230" s="54">
        <v>7</v>
      </c>
      <c r="M230" s="288"/>
      <c r="N230" s="288"/>
      <c r="O230" s="151">
        <v>1</v>
      </c>
      <c r="P230" s="110" t="s">
        <v>241</v>
      </c>
      <c r="Q230" s="111">
        <v>0.54166666666666663</v>
      </c>
      <c r="R230" s="111">
        <v>0.875</v>
      </c>
      <c r="S230" s="111">
        <v>0.29166666666666669</v>
      </c>
      <c r="T230" s="111">
        <v>0.625</v>
      </c>
      <c r="U230" s="118"/>
      <c r="V230" s="132" t="s">
        <v>188</v>
      </c>
      <c r="W230" s="112"/>
      <c r="X230" s="121"/>
      <c r="Y230" s="122"/>
      <c r="Z230" s="113">
        <f t="shared" si="415"/>
        <v>0</v>
      </c>
      <c r="AA230" s="81">
        <f t="shared" si="416"/>
        <v>0</v>
      </c>
      <c r="AB230" s="112"/>
      <c r="AC230" s="121"/>
      <c r="AD230" s="121"/>
      <c r="AE230" s="123">
        <f t="shared" si="417"/>
        <v>0</v>
      </c>
      <c r="AF230" s="81">
        <f t="shared" si="418"/>
        <v>0</v>
      </c>
      <c r="AG230" s="112"/>
      <c r="AH230" s="121"/>
      <c r="AI230" s="122"/>
      <c r="AJ230" s="113">
        <f t="shared" si="419"/>
        <v>0</v>
      </c>
      <c r="AK230" s="81">
        <f t="shared" si="420"/>
        <v>0</v>
      </c>
      <c r="AL230" s="112"/>
      <c r="AM230" s="121"/>
      <c r="AN230" s="122"/>
      <c r="AO230" s="113">
        <f t="shared" si="421"/>
        <v>0</v>
      </c>
      <c r="AP230" s="81">
        <f t="shared" si="422"/>
        <v>0</v>
      </c>
      <c r="AQ230" s="112"/>
      <c r="AR230" s="121"/>
      <c r="AS230" s="122"/>
      <c r="AT230" s="113">
        <f t="shared" si="423"/>
        <v>0</v>
      </c>
      <c r="AU230" s="81">
        <f t="shared" si="424"/>
        <v>0</v>
      </c>
      <c r="AV230" s="112"/>
      <c r="AW230" s="121"/>
      <c r="AX230" s="122"/>
      <c r="AY230" s="113">
        <f t="shared" si="425"/>
        <v>0</v>
      </c>
      <c r="AZ230" s="81">
        <f t="shared" si="426"/>
        <v>0</v>
      </c>
      <c r="BA230" s="78"/>
      <c r="BB230" s="79">
        <f t="shared" si="414"/>
        <v>0</v>
      </c>
      <c r="BC230" s="115">
        <f>IF(BB230&gt;0, BB230, IF(BB230=0, L230))</f>
        <v>7</v>
      </c>
      <c r="BD230" s="81">
        <f>IF(BA230=1, (BC230-L230), IF(BA230=0, BC230))</f>
        <v>7</v>
      </c>
      <c r="BE230" s="122"/>
    </row>
    <row r="231" spans="1:57" s="31" customFormat="1" ht="17.5" customHeight="1" x14ac:dyDescent="0.35">
      <c r="A231" s="280"/>
      <c r="B231" s="244"/>
      <c r="C231" s="352"/>
      <c r="D231" s="353"/>
      <c r="E231" s="258" t="s">
        <v>237</v>
      </c>
      <c r="F231" s="259"/>
      <c r="G231" s="92"/>
      <c r="H231" s="141">
        <f>SUM(H228:H230)</f>
        <v>3</v>
      </c>
      <c r="I231" s="94">
        <f>SUM(I228:I230)</f>
        <v>21</v>
      </c>
      <c r="J231" s="286"/>
      <c r="K231" s="287"/>
      <c r="L231" s="95">
        <f>SUM(L228:L230)</f>
        <v>19</v>
      </c>
      <c r="M231" s="288"/>
      <c r="N231" s="288"/>
      <c r="O231" s="153"/>
      <c r="P231" s="198"/>
      <c r="Q231" s="68"/>
      <c r="R231" s="68"/>
      <c r="S231" s="68"/>
      <c r="T231" s="68"/>
      <c r="U231" s="209"/>
      <c r="V231" s="199"/>
      <c r="W231" s="200"/>
      <c r="X231" s="201"/>
      <c r="Y231" s="202"/>
      <c r="Z231" s="203"/>
      <c r="AA231" s="203"/>
      <c r="AB231" s="200"/>
      <c r="AC231" s="201"/>
      <c r="AD231" s="201"/>
      <c r="AE231" s="204"/>
      <c r="AF231" s="203"/>
      <c r="AG231" s="200"/>
      <c r="AH231" s="201"/>
      <c r="AI231" s="202"/>
      <c r="AJ231" s="203"/>
      <c r="AK231" s="203"/>
      <c r="AL231" s="200"/>
      <c r="AM231" s="201"/>
      <c r="AN231" s="202"/>
      <c r="AO231" s="203"/>
      <c r="AP231" s="203"/>
      <c r="AQ231" s="200"/>
      <c r="AR231" s="201"/>
      <c r="AS231" s="202"/>
      <c r="AT231" s="203"/>
      <c r="AU231" s="203"/>
      <c r="AV231" s="200"/>
      <c r="AW231" s="201"/>
      <c r="AX231" s="202"/>
      <c r="AY231" s="203"/>
      <c r="AZ231" s="203"/>
      <c r="BA231" s="204"/>
      <c r="BB231" s="224"/>
      <c r="BC231" s="203"/>
      <c r="BD231" s="228">
        <f>SUM(BD228:BD230)</f>
        <v>19</v>
      </c>
      <c r="BE231" s="202"/>
    </row>
    <row r="232" spans="1:57" s="31" customFormat="1" ht="17.5" customHeight="1" thickBot="1" x14ac:dyDescent="0.4">
      <c r="A232" s="100"/>
      <c r="B232" s="101"/>
      <c r="C232" s="102"/>
      <c r="D232" s="102"/>
      <c r="E232" s="101"/>
      <c r="F232" s="101"/>
      <c r="G232" s="101"/>
      <c r="H232" s="101"/>
      <c r="I232" s="101"/>
      <c r="J232" s="102"/>
      <c r="K232" s="103"/>
      <c r="L232" s="104"/>
      <c r="M232" s="105"/>
      <c r="N232" s="105"/>
      <c r="O232" s="99"/>
      <c r="P232" s="198"/>
      <c r="Q232" s="68"/>
      <c r="R232" s="68"/>
      <c r="S232" s="68"/>
      <c r="T232" s="68"/>
      <c r="U232" s="209"/>
      <c r="V232" s="199"/>
      <c r="W232" s="200"/>
      <c r="X232" s="201"/>
      <c r="Y232" s="202"/>
      <c r="Z232" s="194"/>
      <c r="AA232" s="203"/>
      <c r="AB232" s="200"/>
      <c r="AC232" s="201"/>
      <c r="AD232" s="201"/>
      <c r="AE232" s="206"/>
      <c r="AF232" s="203"/>
      <c r="AG232" s="200"/>
      <c r="AH232" s="201"/>
      <c r="AI232" s="202"/>
      <c r="AJ232" s="194"/>
      <c r="AK232" s="203"/>
      <c r="AL232" s="200"/>
      <c r="AM232" s="201"/>
      <c r="AN232" s="202"/>
      <c r="AO232" s="194"/>
      <c r="AP232" s="203"/>
      <c r="AQ232" s="200"/>
      <c r="AR232" s="201"/>
      <c r="AS232" s="202"/>
      <c r="AT232" s="194"/>
      <c r="AU232" s="203"/>
      <c r="AV232" s="200"/>
      <c r="AW232" s="201"/>
      <c r="AX232" s="202"/>
      <c r="AY232" s="194"/>
      <c r="AZ232" s="203"/>
      <c r="BA232" s="206"/>
      <c r="BB232" s="223"/>
      <c r="BC232" s="194"/>
      <c r="BD232" s="208"/>
      <c r="BE232" s="202"/>
    </row>
    <row r="233" spans="1:57" s="31" customFormat="1" ht="17.5" customHeight="1" x14ac:dyDescent="0.35">
      <c r="A233" s="353">
        <v>23</v>
      </c>
      <c r="B233" s="357" t="s">
        <v>36</v>
      </c>
      <c r="C233" s="329" t="s">
        <v>242</v>
      </c>
      <c r="D233" s="353" t="s">
        <v>243</v>
      </c>
      <c r="E233" s="278" t="s">
        <v>96</v>
      </c>
      <c r="F233" s="278" t="s">
        <v>204</v>
      </c>
      <c r="G233" s="324">
        <v>10</v>
      </c>
      <c r="H233" s="278">
        <v>2</v>
      </c>
      <c r="I233" s="281">
        <f xml:space="preserve"> SUM(G233*H233)</f>
        <v>20</v>
      </c>
      <c r="J233" s="295">
        <f xml:space="preserve"> I240/8</f>
        <v>6.125</v>
      </c>
      <c r="K233" s="287" t="s">
        <v>41</v>
      </c>
      <c r="L233" s="54">
        <v>9</v>
      </c>
      <c r="M233" s="288">
        <f>L240/8</f>
        <v>5.625</v>
      </c>
      <c r="N233" s="288">
        <f>SUM(BD233:BD239)/8</f>
        <v>5.625</v>
      </c>
      <c r="O233" s="148">
        <v>1</v>
      </c>
      <c r="P233" s="82" t="s">
        <v>244</v>
      </c>
      <c r="Q233" s="57">
        <v>0.33333333333333331</v>
      </c>
      <c r="R233" s="57">
        <v>0.72916666666666663</v>
      </c>
      <c r="S233" s="57"/>
      <c r="T233" s="57"/>
      <c r="U233" s="118"/>
      <c r="V233" s="57" t="s">
        <v>193</v>
      </c>
      <c r="W233" s="59"/>
      <c r="X233" s="83"/>
      <c r="Y233" s="65"/>
      <c r="Z233" s="29">
        <f t="shared" ref="Z233:Z239" si="427">(Y233-X233)*24</f>
        <v>0</v>
      </c>
      <c r="AA233" s="64">
        <f t="shared" ref="AA233:AA239" si="428">IF(Z233&gt;=6, (Z233-1), IF(Z233&lt;6, Z233))</f>
        <v>0</v>
      </c>
      <c r="AB233" s="59"/>
      <c r="AC233" s="83"/>
      <c r="AD233" s="83"/>
      <c r="AE233" s="62">
        <f t="shared" ref="AE233:AE239" si="429">(AD233-AC233)*24</f>
        <v>0</v>
      </c>
      <c r="AF233" s="64">
        <f t="shared" ref="AF233:AF239" si="430">IF(AE233&gt;=6, (AE233-1), IF(AE233&lt;6, AE233))</f>
        <v>0</v>
      </c>
      <c r="AG233" s="59"/>
      <c r="AH233" s="83"/>
      <c r="AI233" s="65"/>
      <c r="AJ233" s="29">
        <f t="shared" ref="AJ233:AJ239" si="431">(AI233-AH233)*24</f>
        <v>0</v>
      </c>
      <c r="AK233" s="64">
        <f t="shared" ref="AK233:AK239" si="432">IF(AJ233&gt;=6, (AJ233-1), IF(AJ233&lt;6, AJ233))</f>
        <v>0</v>
      </c>
      <c r="AL233" s="59"/>
      <c r="AM233" s="83"/>
      <c r="AN233" s="65"/>
      <c r="AO233" s="29">
        <f t="shared" ref="AO233:AO239" si="433">(AN233-AM233)*24</f>
        <v>0</v>
      </c>
      <c r="AP233" s="64">
        <f t="shared" ref="AP233:AP239" si="434">IF(AO233&gt;=6, (AO233-1), IF(AO233&lt;6, AO233))</f>
        <v>0</v>
      </c>
      <c r="AQ233" s="59"/>
      <c r="AR233" s="83"/>
      <c r="AS233" s="65"/>
      <c r="AT233" s="29">
        <f t="shared" ref="AT233:AT239" si="435">(AS233-AR233)*24</f>
        <v>0</v>
      </c>
      <c r="AU233" s="64">
        <f t="shared" ref="AU233:AU239" si="436">IF(AT233&gt;=6, (AT233-1), IF(AT233&lt;6, AT233))</f>
        <v>0</v>
      </c>
      <c r="AV233" s="59"/>
      <c r="AW233" s="83"/>
      <c r="AX233" s="65"/>
      <c r="AY233" s="29">
        <f t="shared" ref="AY233:AY239" si="437">(AX233-AW233)*24</f>
        <v>0</v>
      </c>
      <c r="AZ233" s="64">
        <f t="shared" ref="AZ233:AZ239" si="438">IF(AY233&gt;=6, (AY233-1), IF(AY233&lt;6, AY233))</f>
        <v>0</v>
      </c>
      <c r="BA233" s="62"/>
      <c r="BB233" s="232">
        <f t="shared" ref="BB233:BB249" si="439">AA233+AF233+AK233+AP233+AU233+AZ233</f>
        <v>0</v>
      </c>
      <c r="BC233" s="13">
        <f t="shared" ref="BC233:BC239" si="440">IF(BB233&gt;0, BB233, IF(BB233=0, L233))</f>
        <v>9</v>
      </c>
      <c r="BD233" s="64">
        <f t="shared" ref="BD233:BD239" si="441">IF(BA233=1, (BC233-L233), IF(BA233=0, BC233))</f>
        <v>9</v>
      </c>
      <c r="BE233" s="65"/>
    </row>
    <row r="234" spans="1:57" s="31" customFormat="1" ht="17.5" customHeight="1" thickBot="1" x14ac:dyDescent="0.4">
      <c r="A234" s="353"/>
      <c r="B234" s="358"/>
      <c r="C234" s="329"/>
      <c r="D234" s="353"/>
      <c r="E234" s="280"/>
      <c r="F234" s="280"/>
      <c r="G234" s="356"/>
      <c r="H234" s="280"/>
      <c r="I234" s="283"/>
      <c r="J234" s="295"/>
      <c r="K234" s="287"/>
      <c r="L234" s="54">
        <v>9</v>
      </c>
      <c r="M234" s="288"/>
      <c r="N234" s="288"/>
      <c r="O234" s="150">
        <v>2</v>
      </c>
      <c r="P234" s="98" t="s">
        <v>245</v>
      </c>
      <c r="Q234" s="86">
        <v>0.33333333333333331</v>
      </c>
      <c r="R234" s="86">
        <v>0.72916666666666663</v>
      </c>
      <c r="S234" s="86"/>
      <c r="T234" s="86"/>
      <c r="U234" s="118"/>
      <c r="V234" s="86" t="s">
        <v>193</v>
      </c>
      <c r="W234" s="89"/>
      <c r="X234" s="90"/>
      <c r="Y234" s="91"/>
      <c r="Z234" s="77">
        <f t="shared" si="427"/>
        <v>0</v>
      </c>
      <c r="AA234" s="81">
        <f t="shared" si="428"/>
        <v>0</v>
      </c>
      <c r="AB234" s="89"/>
      <c r="AC234" s="90"/>
      <c r="AD234" s="90"/>
      <c r="AE234" s="78">
        <f t="shared" si="429"/>
        <v>0</v>
      </c>
      <c r="AF234" s="81">
        <f t="shared" si="430"/>
        <v>0</v>
      </c>
      <c r="AG234" s="89"/>
      <c r="AH234" s="90"/>
      <c r="AI234" s="91"/>
      <c r="AJ234" s="77">
        <f t="shared" si="431"/>
        <v>0</v>
      </c>
      <c r="AK234" s="81">
        <f t="shared" si="432"/>
        <v>0</v>
      </c>
      <c r="AL234" s="89"/>
      <c r="AM234" s="90"/>
      <c r="AN234" s="91"/>
      <c r="AO234" s="77">
        <f t="shared" si="433"/>
        <v>0</v>
      </c>
      <c r="AP234" s="81">
        <f t="shared" si="434"/>
        <v>0</v>
      </c>
      <c r="AQ234" s="89"/>
      <c r="AR234" s="90"/>
      <c r="AS234" s="91"/>
      <c r="AT234" s="77">
        <f t="shared" si="435"/>
        <v>0</v>
      </c>
      <c r="AU234" s="81">
        <f t="shared" si="436"/>
        <v>0</v>
      </c>
      <c r="AV234" s="89"/>
      <c r="AW234" s="90"/>
      <c r="AX234" s="91"/>
      <c r="AY234" s="77">
        <f t="shared" si="437"/>
        <v>0</v>
      </c>
      <c r="AZ234" s="81">
        <f t="shared" si="438"/>
        <v>0</v>
      </c>
      <c r="BA234" s="78"/>
      <c r="BB234" s="233">
        <f t="shared" si="439"/>
        <v>0</v>
      </c>
      <c r="BC234" s="80">
        <f t="shared" si="440"/>
        <v>9</v>
      </c>
      <c r="BD234" s="81">
        <f t="shared" si="441"/>
        <v>9</v>
      </c>
      <c r="BE234" s="91"/>
    </row>
    <row r="235" spans="1:57" s="31" customFormat="1" ht="17.5" customHeight="1" x14ac:dyDescent="0.35">
      <c r="A235" s="353"/>
      <c r="B235" s="358"/>
      <c r="C235" s="329"/>
      <c r="D235" s="353"/>
      <c r="E235" s="278" t="s">
        <v>39</v>
      </c>
      <c r="F235" s="278" t="s">
        <v>40</v>
      </c>
      <c r="G235" s="324">
        <v>4</v>
      </c>
      <c r="H235" s="278">
        <v>2</v>
      </c>
      <c r="I235" s="281">
        <f xml:space="preserve"> SUM(G235*H235)</f>
        <v>8</v>
      </c>
      <c r="J235" s="295"/>
      <c r="K235" s="287"/>
      <c r="L235" s="54">
        <v>4</v>
      </c>
      <c r="M235" s="288"/>
      <c r="N235" s="288"/>
      <c r="O235" s="148">
        <v>1</v>
      </c>
      <c r="P235" s="82" t="s">
        <v>246</v>
      </c>
      <c r="Q235" s="57">
        <v>0.33333333333333331</v>
      </c>
      <c r="R235" s="57">
        <v>0.5</v>
      </c>
      <c r="S235" s="57"/>
      <c r="T235" s="57"/>
      <c r="U235" s="118"/>
      <c r="V235" s="57" t="s">
        <v>43</v>
      </c>
      <c r="W235" s="59"/>
      <c r="X235" s="83"/>
      <c r="Y235" s="65"/>
      <c r="Z235" s="29">
        <f t="shared" si="427"/>
        <v>0</v>
      </c>
      <c r="AA235" s="64">
        <f t="shared" si="428"/>
        <v>0</v>
      </c>
      <c r="AB235" s="59"/>
      <c r="AC235" s="83"/>
      <c r="AD235" s="83"/>
      <c r="AE235" s="62">
        <f t="shared" si="429"/>
        <v>0</v>
      </c>
      <c r="AF235" s="64">
        <f t="shared" si="430"/>
        <v>0</v>
      </c>
      <c r="AG235" s="59"/>
      <c r="AH235" s="83"/>
      <c r="AI235" s="65"/>
      <c r="AJ235" s="29">
        <f t="shared" si="431"/>
        <v>0</v>
      </c>
      <c r="AK235" s="64">
        <f t="shared" si="432"/>
        <v>0</v>
      </c>
      <c r="AL235" s="59"/>
      <c r="AM235" s="83"/>
      <c r="AN235" s="65"/>
      <c r="AO235" s="29">
        <f t="shared" si="433"/>
        <v>0</v>
      </c>
      <c r="AP235" s="64">
        <f t="shared" si="434"/>
        <v>0</v>
      </c>
      <c r="AQ235" s="59"/>
      <c r="AR235" s="83"/>
      <c r="AS235" s="65"/>
      <c r="AT235" s="29">
        <f t="shared" si="435"/>
        <v>0</v>
      </c>
      <c r="AU235" s="64">
        <f t="shared" si="436"/>
        <v>0</v>
      </c>
      <c r="AV235" s="59"/>
      <c r="AW235" s="83"/>
      <c r="AX235" s="65"/>
      <c r="AY235" s="29">
        <f t="shared" si="437"/>
        <v>0</v>
      </c>
      <c r="AZ235" s="64">
        <f t="shared" si="438"/>
        <v>0</v>
      </c>
      <c r="BA235" s="62"/>
      <c r="BB235" s="232">
        <f t="shared" si="439"/>
        <v>0</v>
      </c>
      <c r="BC235" s="13">
        <f t="shared" si="440"/>
        <v>4</v>
      </c>
      <c r="BD235" s="64">
        <f t="shared" si="441"/>
        <v>4</v>
      </c>
      <c r="BE235" s="65"/>
    </row>
    <row r="236" spans="1:57" s="31" customFormat="1" ht="17.5" customHeight="1" thickBot="1" x14ac:dyDescent="0.4">
      <c r="A236" s="353"/>
      <c r="B236" s="358"/>
      <c r="C236" s="329"/>
      <c r="D236" s="353"/>
      <c r="E236" s="280"/>
      <c r="F236" s="280"/>
      <c r="G236" s="356"/>
      <c r="H236" s="280"/>
      <c r="I236" s="283"/>
      <c r="J236" s="295"/>
      <c r="K236" s="287"/>
      <c r="L236" s="54">
        <v>4</v>
      </c>
      <c r="M236" s="288"/>
      <c r="N236" s="288"/>
      <c r="O236" s="150">
        <v>2</v>
      </c>
      <c r="P236" s="98" t="s">
        <v>247</v>
      </c>
      <c r="Q236" s="86">
        <v>0.33333333333333331</v>
      </c>
      <c r="R236" s="86">
        <v>0.5</v>
      </c>
      <c r="S236" s="86"/>
      <c r="T236" s="86"/>
      <c r="U236" s="118"/>
      <c r="V236" s="86"/>
      <c r="W236" s="89"/>
      <c r="X236" s="90"/>
      <c r="Y236" s="91"/>
      <c r="Z236" s="77">
        <f t="shared" si="427"/>
        <v>0</v>
      </c>
      <c r="AA236" s="81">
        <f t="shared" si="428"/>
        <v>0</v>
      </c>
      <c r="AB236" s="89"/>
      <c r="AC236" s="90"/>
      <c r="AD236" s="90"/>
      <c r="AE236" s="78">
        <f t="shared" si="429"/>
        <v>0</v>
      </c>
      <c r="AF236" s="81">
        <f t="shared" si="430"/>
        <v>0</v>
      </c>
      <c r="AG236" s="89"/>
      <c r="AH236" s="90"/>
      <c r="AI236" s="91"/>
      <c r="AJ236" s="77">
        <f t="shared" si="431"/>
        <v>0</v>
      </c>
      <c r="AK236" s="81">
        <f t="shared" si="432"/>
        <v>0</v>
      </c>
      <c r="AL236" s="89"/>
      <c r="AM236" s="90"/>
      <c r="AN236" s="91"/>
      <c r="AO236" s="77">
        <f t="shared" si="433"/>
        <v>0</v>
      </c>
      <c r="AP236" s="81">
        <f t="shared" si="434"/>
        <v>0</v>
      </c>
      <c r="AQ236" s="89"/>
      <c r="AR236" s="90"/>
      <c r="AS236" s="91"/>
      <c r="AT236" s="77">
        <f t="shared" si="435"/>
        <v>0</v>
      </c>
      <c r="AU236" s="81">
        <f t="shared" si="436"/>
        <v>0</v>
      </c>
      <c r="AV236" s="89"/>
      <c r="AW236" s="90"/>
      <c r="AX236" s="91"/>
      <c r="AY236" s="77">
        <f t="shared" si="437"/>
        <v>0</v>
      </c>
      <c r="AZ236" s="81">
        <f t="shared" si="438"/>
        <v>0</v>
      </c>
      <c r="BA236" s="78"/>
      <c r="BB236" s="233">
        <f t="shared" si="439"/>
        <v>0</v>
      </c>
      <c r="BC236" s="80">
        <f t="shared" si="440"/>
        <v>4</v>
      </c>
      <c r="BD236" s="81">
        <f t="shared" si="441"/>
        <v>4</v>
      </c>
      <c r="BE236" s="91"/>
    </row>
    <row r="237" spans="1:57" s="31" customFormat="1" ht="17.5" customHeight="1" thickBot="1" x14ac:dyDescent="0.4">
      <c r="A237" s="353"/>
      <c r="B237" s="358"/>
      <c r="C237" s="329"/>
      <c r="D237" s="353"/>
      <c r="E237" s="51" t="s">
        <v>39</v>
      </c>
      <c r="F237" s="51" t="s">
        <v>67</v>
      </c>
      <c r="G237" s="154">
        <v>8</v>
      </c>
      <c r="H237" s="51">
        <v>1</v>
      </c>
      <c r="I237" s="108">
        <f xml:space="preserve"> SUM(G237*H237)</f>
        <v>8</v>
      </c>
      <c r="J237" s="295"/>
      <c r="K237" s="287"/>
      <c r="L237" s="54">
        <v>7</v>
      </c>
      <c r="M237" s="288"/>
      <c r="N237" s="288"/>
      <c r="O237" s="150">
        <v>1</v>
      </c>
      <c r="P237" s="98" t="s">
        <v>248</v>
      </c>
      <c r="Q237" s="26">
        <v>0.33333333333333331</v>
      </c>
      <c r="R237" s="26">
        <v>0.66666666666666663</v>
      </c>
      <c r="S237" s="86"/>
      <c r="T237" s="86"/>
      <c r="U237" s="118"/>
      <c r="V237" s="88" t="s">
        <v>136</v>
      </c>
      <c r="W237" s="89"/>
      <c r="X237" s="90"/>
      <c r="Y237" s="91"/>
      <c r="Z237" s="113">
        <f t="shared" si="427"/>
        <v>0</v>
      </c>
      <c r="AA237" s="81">
        <f t="shared" si="428"/>
        <v>0</v>
      </c>
      <c r="AB237" s="89"/>
      <c r="AC237" s="90"/>
      <c r="AD237" s="90"/>
      <c r="AE237" s="123">
        <f t="shared" si="429"/>
        <v>0</v>
      </c>
      <c r="AF237" s="81">
        <f t="shared" si="430"/>
        <v>0</v>
      </c>
      <c r="AG237" s="89"/>
      <c r="AH237" s="90"/>
      <c r="AI237" s="91"/>
      <c r="AJ237" s="113">
        <f t="shared" si="431"/>
        <v>0</v>
      </c>
      <c r="AK237" s="81">
        <f t="shared" si="432"/>
        <v>0</v>
      </c>
      <c r="AL237" s="89"/>
      <c r="AM237" s="90"/>
      <c r="AN237" s="91"/>
      <c r="AO237" s="113">
        <f t="shared" si="433"/>
        <v>0</v>
      </c>
      <c r="AP237" s="81">
        <f t="shared" si="434"/>
        <v>0</v>
      </c>
      <c r="AQ237" s="89"/>
      <c r="AR237" s="90"/>
      <c r="AS237" s="91"/>
      <c r="AT237" s="113">
        <f t="shared" si="435"/>
        <v>0</v>
      </c>
      <c r="AU237" s="81">
        <f t="shared" si="436"/>
        <v>0</v>
      </c>
      <c r="AV237" s="89"/>
      <c r="AW237" s="90"/>
      <c r="AX237" s="91"/>
      <c r="AY237" s="113">
        <f t="shared" si="437"/>
        <v>0</v>
      </c>
      <c r="AZ237" s="81">
        <f t="shared" si="438"/>
        <v>0</v>
      </c>
      <c r="BA237" s="78"/>
      <c r="BB237" s="79">
        <f t="shared" si="439"/>
        <v>0</v>
      </c>
      <c r="BC237" s="115">
        <f t="shared" si="440"/>
        <v>7</v>
      </c>
      <c r="BD237" s="81">
        <f t="shared" si="441"/>
        <v>7</v>
      </c>
      <c r="BE237" s="91"/>
    </row>
    <row r="238" spans="1:57" s="31" customFormat="1" ht="17.5" customHeight="1" thickBot="1" x14ac:dyDescent="0.4">
      <c r="A238" s="353"/>
      <c r="B238" s="358"/>
      <c r="C238" s="329"/>
      <c r="D238" s="353"/>
      <c r="E238" s="51" t="s">
        <v>39</v>
      </c>
      <c r="F238" s="51" t="s">
        <v>75</v>
      </c>
      <c r="G238" s="154">
        <v>10</v>
      </c>
      <c r="H238" s="51">
        <v>1</v>
      </c>
      <c r="I238" s="108">
        <f xml:space="preserve"> SUM(G238*H238)</f>
        <v>10</v>
      </c>
      <c r="J238" s="295"/>
      <c r="K238" s="287"/>
      <c r="L238" s="54">
        <v>9</v>
      </c>
      <c r="M238" s="288"/>
      <c r="N238" s="288"/>
      <c r="O238" s="151">
        <v>1</v>
      </c>
      <c r="P238" s="120" t="s">
        <v>249</v>
      </c>
      <c r="Q238" s="57">
        <v>0.375</v>
      </c>
      <c r="R238" s="57">
        <v>0.70833333333333337</v>
      </c>
      <c r="S238" s="111"/>
      <c r="T238" s="111"/>
      <c r="U238" s="118"/>
      <c r="V238" s="132" t="s">
        <v>43</v>
      </c>
      <c r="W238" s="112"/>
      <c r="X238" s="121"/>
      <c r="Y238" s="122"/>
      <c r="Z238" s="113">
        <f t="shared" si="427"/>
        <v>0</v>
      </c>
      <c r="AA238" s="81">
        <f t="shared" si="428"/>
        <v>0</v>
      </c>
      <c r="AB238" s="112"/>
      <c r="AC238" s="121"/>
      <c r="AD238" s="121"/>
      <c r="AE238" s="123">
        <f t="shared" si="429"/>
        <v>0</v>
      </c>
      <c r="AF238" s="81">
        <f t="shared" si="430"/>
        <v>0</v>
      </c>
      <c r="AG238" s="112"/>
      <c r="AH238" s="121"/>
      <c r="AI238" s="122"/>
      <c r="AJ238" s="113">
        <f t="shared" si="431"/>
        <v>0</v>
      </c>
      <c r="AK238" s="81">
        <f t="shared" si="432"/>
        <v>0</v>
      </c>
      <c r="AL238" s="112"/>
      <c r="AM238" s="121"/>
      <c r="AN238" s="122"/>
      <c r="AO238" s="113">
        <f t="shared" si="433"/>
        <v>0</v>
      </c>
      <c r="AP238" s="81">
        <f t="shared" si="434"/>
        <v>0</v>
      </c>
      <c r="AQ238" s="112"/>
      <c r="AR238" s="121"/>
      <c r="AS238" s="122"/>
      <c r="AT238" s="113">
        <f t="shared" si="435"/>
        <v>0</v>
      </c>
      <c r="AU238" s="81">
        <f t="shared" si="436"/>
        <v>0</v>
      </c>
      <c r="AV238" s="112"/>
      <c r="AW238" s="121"/>
      <c r="AX238" s="122"/>
      <c r="AY238" s="113">
        <f t="shared" si="437"/>
        <v>0</v>
      </c>
      <c r="AZ238" s="81">
        <f t="shared" si="438"/>
        <v>0</v>
      </c>
      <c r="BA238" s="78"/>
      <c r="BB238" s="79">
        <f t="shared" si="439"/>
        <v>0</v>
      </c>
      <c r="BC238" s="115">
        <f t="shared" si="440"/>
        <v>9</v>
      </c>
      <c r="BD238" s="81">
        <f t="shared" si="441"/>
        <v>9</v>
      </c>
      <c r="BE238" s="122"/>
    </row>
    <row r="239" spans="1:57" s="31" customFormat="1" ht="17.5" customHeight="1" thickBot="1" x14ac:dyDescent="0.4">
      <c r="A239" s="353"/>
      <c r="B239" s="358"/>
      <c r="C239" s="329"/>
      <c r="D239" s="353"/>
      <c r="E239" s="51" t="s">
        <v>75</v>
      </c>
      <c r="F239" s="51" t="s">
        <v>83</v>
      </c>
      <c r="G239" s="154">
        <v>3</v>
      </c>
      <c r="H239" s="51">
        <v>1</v>
      </c>
      <c r="I239" s="108">
        <f xml:space="preserve"> SUM(G239*H239)</f>
        <v>3</v>
      </c>
      <c r="J239" s="295"/>
      <c r="K239" s="287"/>
      <c r="L239" s="54">
        <v>3</v>
      </c>
      <c r="M239" s="288"/>
      <c r="N239" s="288"/>
      <c r="O239" s="151">
        <v>1</v>
      </c>
      <c r="P239" s="120"/>
      <c r="Q239" s="111"/>
      <c r="R239" s="111"/>
      <c r="S239" s="111"/>
      <c r="T239" s="111"/>
      <c r="U239" s="118"/>
      <c r="V239" s="132"/>
      <c r="W239" s="112"/>
      <c r="X239" s="121"/>
      <c r="Y239" s="122"/>
      <c r="Z239" s="113">
        <f t="shared" si="427"/>
        <v>0</v>
      </c>
      <c r="AA239" s="81">
        <f t="shared" si="428"/>
        <v>0</v>
      </c>
      <c r="AB239" s="112"/>
      <c r="AC239" s="121"/>
      <c r="AD239" s="121"/>
      <c r="AE239" s="123">
        <f t="shared" si="429"/>
        <v>0</v>
      </c>
      <c r="AF239" s="81">
        <f t="shared" si="430"/>
        <v>0</v>
      </c>
      <c r="AG239" s="112"/>
      <c r="AH239" s="121"/>
      <c r="AI239" s="122"/>
      <c r="AJ239" s="113">
        <f t="shared" si="431"/>
        <v>0</v>
      </c>
      <c r="AK239" s="81">
        <f t="shared" si="432"/>
        <v>0</v>
      </c>
      <c r="AL239" s="112"/>
      <c r="AM239" s="121"/>
      <c r="AN239" s="122"/>
      <c r="AO239" s="113">
        <f t="shared" si="433"/>
        <v>0</v>
      </c>
      <c r="AP239" s="81">
        <f t="shared" si="434"/>
        <v>0</v>
      </c>
      <c r="AQ239" s="112"/>
      <c r="AR239" s="121"/>
      <c r="AS239" s="122"/>
      <c r="AT239" s="113">
        <f t="shared" si="435"/>
        <v>0</v>
      </c>
      <c r="AU239" s="81">
        <f t="shared" si="436"/>
        <v>0</v>
      </c>
      <c r="AV239" s="112"/>
      <c r="AW239" s="121"/>
      <c r="AX239" s="122"/>
      <c r="AY239" s="113">
        <f t="shared" si="437"/>
        <v>0</v>
      </c>
      <c r="AZ239" s="81">
        <f t="shared" si="438"/>
        <v>0</v>
      </c>
      <c r="BA239" s="78"/>
      <c r="BB239" s="79">
        <f t="shared" si="439"/>
        <v>0</v>
      </c>
      <c r="BC239" s="115">
        <f t="shared" si="440"/>
        <v>3</v>
      </c>
      <c r="BD239" s="81">
        <f t="shared" si="441"/>
        <v>3</v>
      </c>
      <c r="BE239" s="122"/>
    </row>
    <row r="240" spans="1:57" s="31" customFormat="1" ht="17.5" customHeight="1" thickBot="1" x14ac:dyDescent="0.4">
      <c r="A240" s="353"/>
      <c r="B240" s="358"/>
      <c r="C240" s="329"/>
      <c r="D240" s="353"/>
      <c r="E240" s="258" t="s">
        <v>56</v>
      </c>
      <c r="F240" s="259"/>
      <c r="G240" s="92"/>
      <c r="H240" s="141">
        <f>SUM(H233:H239)</f>
        <v>7</v>
      </c>
      <c r="I240" s="94">
        <f>SUM(I233:I239)</f>
        <v>49</v>
      </c>
      <c r="J240" s="295"/>
      <c r="K240" s="287"/>
      <c r="L240" s="95">
        <f>SUM(L233:L239)</f>
        <v>45</v>
      </c>
      <c r="M240" s="288"/>
      <c r="N240" s="288"/>
      <c r="O240" s="153"/>
      <c r="P240" s="198"/>
      <c r="Q240" s="68"/>
      <c r="R240" s="68"/>
      <c r="S240" s="68"/>
      <c r="T240" s="68"/>
      <c r="U240" s="209"/>
      <c r="V240" s="199"/>
      <c r="W240" s="200"/>
      <c r="X240" s="201"/>
      <c r="Y240" s="202"/>
      <c r="Z240" s="203"/>
      <c r="AA240" s="203"/>
      <c r="AB240" s="200"/>
      <c r="AC240" s="201"/>
      <c r="AD240" s="201"/>
      <c r="AE240" s="204"/>
      <c r="AF240" s="203"/>
      <c r="AG240" s="200"/>
      <c r="AH240" s="201"/>
      <c r="AI240" s="202"/>
      <c r="AJ240" s="203"/>
      <c r="AK240" s="203"/>
      <c r="AL240" s="200"/>
      <c r="AM240" s="201"/>
      <c r="AN240" s="202"/>
      <c r="AO240" s="203"/>
      <c r="AP240" s="203"/>
      <c r="AQ240" s="200"/>
      <c r="AR240" s="201"/>
      <c r="AS240" s="202"/>
      <c r="AT240" s="203"/>
      <c r="AU240" s="203"/>
      <c r="AV240" s="200"/>
      <c r="AW240" s="201"/>
      <c r="AX240" s="202"/>
      <c r="AY240" s="203"/>
      <c r="AZ240" s="203"/>
      <c r="BA240" s="206"/>
      <c r="BB240" s="223"/>
      <c r="BC240" s="197"/>
      <c r="BD240" s="228">
        <f>SUM(BD233:BD239)</f>
        <v>45</v>
      </c>
      <c r="BE240" s="202"/>
    </row>
    <row r="241" spans="1:57" s="31" customFormat="1" ht="17.25" customHeight="1" thickBot="1" x14ac:dyDescent="0.4">
      <c r="A241" s="353"/>
      <c r="B241" s="358"/>
      <c r="C241" s="329"/>
      <c r="D241" s="353"/>
      <c r="E241" s="51" t="s">
        <v>39</v>
      </c>
      <c r="F241" s="51" t="s">
        <v>67</v>
      </c>
      <c r="G241" s="51">
        <v>8</v>
      </c>
      <c r="H241" s="51">
        <v>1</v>
      </c>
      <c r="I241" s="108">
        <f xml:space="preserve"> SUM(G241*H241)</f>
        <v>8</v>
      </c>
      <c r="J241" s="326">
        <f xml:space="preserve"> I247/8</f>
        <v>4.5</v>
      </c>
      <c r="K241" s="327" t="s">
        <v>57</v>
      </c>
      <c r="L241" s="162">
        <v>7</v>
      </c>
      <c r="M241" s="328">
        <f>L247/8</f>
        <v>4.125</v>
      </c>
      <c r="N241" s="328">
        <f>SUM(BD241:BD246)/8</f>
        <v>4.125</v>
      </c>
      <c r="O241" s="151">
        <v>1</v>
      </c>
      <c r="P241" s="120"/>
      <c r="Q241" s="111"/>
      <c r="R241" s="111"/>
      <c r="S241" s="111"/>
      <c r="T241" s="111"/>
      <c r="U241" s="118"/>
      <c r="V241" s="132"/>
      <c r="W241" s="112"/>
      <c r="X241" s="121"/>
      <c r="Y241" s="122"/>
      <c r="Z241" s="113">
        <f t="shared" ref="Z241:Z246" si="442">(Y241-X241)*24</f>
        <v>0</v>
      </c>
      <c r="AA241" s="81">
        <f t="shared" ref="AA241:AA246" si="443">IF(Z241&gt;=6, (Z241-1), IF(Z241&lt;6, Z241))</f>
        <v>0</v>
      </c>
      <c r="AB241" s="112"/>
      <c r="AC241" s="121"/>
      <c r="AD241" s="121"/>
      <c r="AE241" s="123">
        <f t="shared" ref="AE241:AE246" si="444">(AD241-AC241)*24</f>
        <v>0</v>
      </c>
      <c r="AF241" s="81">
        <f t="shared" ref="AF241:AF246" si="445">IF(AE241&gt;=6, (AE241-1), IF(AE241&lt;6, AE241))</f>
        <v>0</v>
      </c>
      <c r="AG241" s="112"/>
      <c r="AH241" s="121"/>
      <c r="AI241" s="122"/>
      <c r="AJ241" s="113">
        <f t="shared" ref="AJ241:AJ246" si="446">(AI241-AH241)*24</f>
        <v>0</v>
      </c>
      <c r="AK241" s="81">
        <f t="shared" ref="AK241:AK246" si="447">IF(AJ241&gt;=6, (AJ241-1), IF(AJ241&lt;6, AJ241))</f>
        <v>0</v>
      </c>
      <c r="AL241" s="112"/>
      <c r="AM241" s="121"/>
      <c r="AN241" s="122"/>
      <c r="AO241" s="113">
        <f t="shared" ref="AO241:AO246" si="448">(AN241-AM241)*24</f>
        <v>0</v>
      </c>
      <c r="AP241" s="81">
        <f t="shared" ref="AP241:AP246" si="449">IF(AO241&gt;=6, (AO241-1), IF(AO241&lt;6, AO241))</f>
        <v>0</v>
      </c>
      <c r="AQ241" s="112"/>
      <c r="AR241" s="121"/>
      <c r="AS241" s="122"/>
      <c r="AT241" s="113">
        <f t="shared" ref="AT241:AT246" si="450">(AS241-AR241)*24</f>
        <v>0</v>
      </c>
      <c r="AU241" s="81">
        <f t="shared" ref="AU241:AU246" si="451">IF(AT241&gt;=6, (AT241-1), IF(AT241&lt;6, AT241))</f>
        <v>0</v>
      </c>
      <c r="AV241" s="112"/>
      <c r="AW241" s="121"/>
      <c r="AX241" s="122"/>
      <c r="AY241" s="113">
        <f t="shared" ref="AY241:AY246" si="452">(AX241-AW241)*24</f>
        <v>0</v>
      </c>
      <c r="AZ241" s="81">
        <f t="shared" ref="AZ241:AZ246" si="453">IF(AY241&gt;=6, (AY241-1), IF(AY241&lt;6, AY241))</f>
        <v>0</v>
      </c>
      <c r="BA241" s="78"/>
      <c r="BB241" s="79">
        <f t="shared" si="439"/>
        <v>0</v>
      </c>
      <c r="BC241" s="115">
        <f t="shared" ref="BC241:BC246" si="454">IF(BB241&gt;0, BB241, IF(BB241=0, L241))</f>
        <v>7</v>
      </c>
      <c r="BD241" s="81">
        <f t="shared" ref="BD241:BD246" si="455">IF(BA241=1, (BC241-L241), IF(BA241=0, BC241))</f>
        <v>7</v>
      </c>
      <c r="BE241" s="122"/>
    </row>
    <row r="242" spans="1:57" s="31" customFormat="1" ht="17.5" customHeight="1" x14ac:dyDescent="0.35">
      <c r="A242" s="353"/>
      <c r="B242" s="358"/>
      <c r="C242" s="329"/>
      <c r="D242" s="353"/>
      <c r="E242" s="278" t="s">
        <v>39</v>
      </c>
      <c r="F242" s="278" t="s">
        <v>40</v>
      </c>
      <c r="G242" s="278">
        <v>4</v>
      </c>
      <c r="H242" s="278">
        <v>2</v>
      </c>
      <c r="I242" s="281">
        <f xml:space="preserve"> SUM(G242*H242)</f>
        <v>8</v>
      </c>
      <c r="J242" s="326"/>
      <c r="K242" s="327"/>
      <c r="L242" s="162">
        <v>4</v>
      </c>
      <c r="M242" s="328"/>
      <c r="N242" s="328"/>
      <c r="O242" s="148">
        <v>1</v>
      </c>
      <c r="P242" s="82"/>
      <c r="Q242" s="57"/>
      <c r="R242" s="57"/>
      <c r="S242" s="57"/>
      <c r="T242" s="57"/>
      <c r="U242" s="118"/>
      <c r="V242" s="58"/>
      <c r="W242" s="59"/>
      <c r="X242" s="83"/>
      <c r="Y242" s="65"/>
      <c r="Z242" s="29">
        <f t="shared" si="442"/>
        <v>0</v>
      </c>
      <c r="AA242" s="64">
        <f t="shared" si="443"/>
        <v>0</v>
      </c>
      <c r="AB242" s="59"/>
      <c r="AC242" s="83"/>
      <c r="AD242" s="83"/>
      <c r="AE242" s="62">
        <f t="shared" si="444"/>
        <v>0</v>
      </c>
      <c r="AF242" s="64">
        <f t="shared" si="445"/>
        <v>0</v>
      </c>
      <c r="AG242" s="59"/>
      <c r="AH242" s="83"/>
      <c r="AI242" s="65"/>
      <c r="AJ242" s="29">
        <f t="shared" si="446"/>
        <v>0</v>
      </c>
      <c r="AK242" s="64">
        <f t="shared" si="447"/>
        <v>0</v>
      </c>
      <c r="AL242" s="59"/>
      <c r="AM242" s="83"/>
      <c r="AN242" s="65"/>
      <c r="AO242" s="29">
        <f t="shared" si="448"/>
        <v>0</v>
      </c>
      <c r="AP242" s="64">
        <f t="shared" si="449"/>
        <v>0</v>
      </c>
      <c r="AQ242" s="59"/>
      <c r="AR242" s="83"/>
      <c r="AS242" s="65"/>
      <c r="AT242" s="29">
        <f t="shared" si="450"/>
        <v>0</v>
      </c>
      <c r="AU242" s="64">
        <f t="shared" si="451"/>
        <v>0</v>
      </c>
      <c r="AV242" s="59"/>
      <c r="AW242" s="83"/>
      <c r="AX242" s="65"/>
      <c r="AY242" s="29">
        <f t="shared" si="452"/>
        <v>0</v>
      </c>
      <c r="AZ242" s="64">
        <f t="shared" si="453"/>
        <v>0</v>
      </c>
      <c r="BA242" s="62"/>
      <c r="BB242" s="232">
        <f t="shared" si="439"/>
        <v>0</v>
      </c>
      <c r="BC242" s="13">
        <f t="shared" si="454"/>
        <v>4</v>
      </c>
      <c r="BD242" s="64">
        <f t="shared" si="455"/>
        <v>4</v>
      </c>
      <c r="BE242" s="65"/>
    </row>
    <row r="243" spans="1:57" s="31" customFormat="1" ht="17.5" customHeight="1" thickBot="1" x14ac:dyDescent="0.4">
      <c r="A243" s="353"/>
      <c r="B243" s="358"/>
      <c r="C243" s="329"/>
      <c r="D243" s="353"/>
      <c r="E243" s="280"/>
      <c r="F243" s="280"/>
      <c r="G243" s="280"/>
      <c r="H243" s="280"/>
      <c r="I243" s="283"/>
      <c r="J243" s="326"/>
      <c r="K243" s="327"/>
      <c r="L243" s="162">
        <v>4</v>
      </c>
      <c r="M243" s="328"/>
      <c r="N243" s="328"/>
      <c r="O243" s="150">
        <v>2</v>
      </c>
      <c r="P243" s="98"/>
      <c r="Q243" s="86"/>
      <c r="R243" s="86"/>
      <c r="S243" s="86"/>
      <c r="T243" s="86"/>
      <c r="U243" s="118"/>
      <c r="V243" s="88"/>
      <c r="W243" s="89"/>
      <c r="X243" s="90"/>
      <c r="Y243" s="91"/>
      <c r="Z243" s="77">
        <f t="shared" si="442"/>
        <v>0</v>
      </c>
      <c r="AA243" s="81">
        <f t="shared" si="443"/>
        <v>0</v>
      </c>
      <c r="AB243" s="89"/>
      <c r="AC243" s="90"/>
      <c r="AD243" s="90"/>
      <c r="AE243" s="78">
        <f t="shared" si="444"/>
        <v>0</v>
      </c>
      <c r="AF243" s="81">
        <f t="shared" si="445"/>
        <v>0</v>
      </c>
      <c r="AG243" s="89"/>
      <c r="AH243" s="90"/>
      <c r="AI243" s="91"/>
      <c r="AJ243" s="77">
        <f t="shared" si="446"/>
        <v>0</v>
      </c>
      <c r="AK243" s="81">
        <f t="shared" si="447"/>
        <v>0</v>
      </c>
      <c r="AL243" s="89"/>
      <c r="AM243" s="90"/>
      <c r="AN243" s="91"/>
      <c r="AO243" s="77">
        <f t="shared" si="448"/>
        <v>0</v>
      </c>
      <c r="AP243" s="81">
        <f t="shared" si="449"/>
        <v>0</v>
      </c>
      <c r="AQ243" s="89"/>
      <c r="AR243" s="90"/>
      <c r="AS243" s="91"/>
      <c r="AT243" s="77">
        <f t="shared" si="450"/>
        <v>0</v>
      </c>
      <c r="AU243" s="81">
        <f t="shared" si="451"/>
        <v>0</v>
      </c>
      <c r="AV243" s="89"/>
      <c r="AW243" s="90"/>
      <c r="AX243" s="91"/>
      <c r="AY243" s="77">
        <f t="shared" si="452"/>
        <v>0</v>
      </c>
      <c r="AZ243" s="81">
        <f t="shared" si="453"/>
        <v>0</v>
      </c>
      <c r="BA243" s="78"/>
      <c r="BB243" s="233">
        <f t="shared" si="439"/>
        <v>0</v>
      </c>
      <c r="BC243" s="80">
        <f t="shared" si="454"/>
        <v>4</v>
      </c>
      <c r="BD243" s="81">
        <f t="shared" si="455"/>
        <v>4</v>
      </c>
      <c r="BE243" s="91"/>
    </row>
    <row r="244" spans="1:57" s="31" customFormat="1" ht="17.5" customHeight="1" thickBot="1" x14ac:dyDescent="0.4">
      <c r="A244" s="353"/>
      <c r="B244" s="358"/>
      <c r="C244" s="329"/>
      <c r="D244" s="353"/>
      <c r="E244" s="51" t="s">
        <v>71</v>
      </c>
      <c r="F244" s="51" t="s">
        <v>52</v>
      </c>
      <c r="G244" s="51">
        <v>4</v>
      </c>
      <c r="H244" s="51">
        <v>1</v>
      </c>
      <c r="I244" s="108">
        <f xml:space="preserve"> SUM(G244*H244)</f>
        <v>4</v>
      </c>
      <c r="J244" s="326"/>
      <c r="K244" s="327"/>
      <c r="L244" s="162">
        <v>4</v>
      </c>
      <c r="M244" s="328"/>
      <c r="N244" s="328"/>
      <c r="O244" s="151">
        <v>1</v>
      </c>
      <c r="P244" s="120"/>
      <c r="Q244" s="111"/>
      <c r="R244" s="111"/>
      <c r="S244" s="111"/>
      <c r="T244" s="111"/>
      <c r="U244" s="118"/>
      <c r="V244" s="132"/>
      <c r="W244" s="112"/>
      <c r="X244" s="121"/>
      <c r="Y244" s="122"/>
      <c r="Z244" s="113">
        <f t="shared" si="442"/>
        <v>0</v>
      </c>
      <c r="AA244" s="81">
        <f t="shared" si="443"/>
        <v>0</v>
      </c>
      <c r="AB244" s="112"/>
      <c r="AC244" s="121"/>
      <c r="AD244" s="121"/>
      <c r="AE244" s="123">
        <f t="shared" si="444"/>
        <v>0</v>
      </c>
      <c r="AF244" s="81">
        <f t="shared" si="445"/>
        <v>0</v>
      </c>
      <c r="AG244" s="112"/>
      <c r="AH244" s="121"/>
      <c r="AI244" s="122"/>
      <c r="AJ244" s="113">
        <f t="shared" si="446"/>
        <v>0</v>
      </c>
      <c r="AK244" s="81">
        <f t="shared" si="447"/>
        <v>0</v>
      </c>
      <c r="AL244" s="112"/>
      <c r="AM244" s="121"/>
      <c r="AN244" s="122"/>
      <c r="AO244" s="113">
        <f t="shared" si="448"/>
        <v>0</v>
      </c>
      <c r="AP244" s="81">
        <f t="shared" si="449"/>
        <v>0</v>
      </c>
      <c r="AQ244" s="112"/>
      <c r="AR244" s="121"/>
      <c r="AS244" s="122"/>
      <c r="AT244" s="113">
        <f t="shared" si="450"/>
        <v>0</v>
      </c>
      <c r="AU244" s="81">
        <f t="shared" si="451"/>
        <v>0</v>
      </c>
      <c r="AV244" s="112"/>
      <c r="AW244" s="121"/>
      <c r="AX244" s="122"/>
      <c r="AY244" s="113">
        <f t="shared" si="452"/>
        <v>0</v>
      </c>
      <c r="AZ244" s="81">
        <f t="shared" si="453"/>
        <v>0</v>
      </c>
      <c r="BA244" s="78"/>
      <c r="BB244" s="79">
        <f t="shared" si="439"/>
        <v>0</v>
      </c>
      <c r="BC244" s="115">
        <f t="shared" si="454"/>
        <v>4</v>
      </c>
      <c r="BD244" s="81">
        <f t="shared" si="455"/>
        <v>4</v>
      </c>
      <c r="BE244" s="122"/>
    </row>
    <row r="245" spans="1:57" s="31" customFormat="1" ht="17.5" customHeight="1" thickBot="1" x14ac:dyDescent="0.4">
      <c r="A245" s="353"/>
      <c r="B245" s="358"/>
      <c r="C245" s="329"/>
      <c r="D245" s="353"/>
      <c r="E245" s="51" t="s">
        <v>71</v>
      </c>
      <c r="F245" s="51" t="s">
        <v>58</v>
      </c>
      <c r="G245" s="51">
        <v>8</v>
      </c>
      <c r="H245" s="51">
        <v>1</v>
      </c>
      <c r="I245" s="108">
        <f xml:space="preserve"> SUM(G245*H245)</f>
        <v>8</v>
      </c>
      <c r="J245" s="326"/>
      <c r="K245" s="327"/>
      <c r="L245" s="162">
        <v>7</v>
      </c>
      <c r="M245" s="328"/>
      <c r="N245" s="328"/>
      <c r="O245" s="151">
        <v>1</v>
      </c>
      <c r="P245" s="120"/>
      <c r="Q245" s="111"/>
      <c r="R245" s="111"/>
      <c r="S245" s="111"/>
      <c r="T245" s="111"/>
      <c r="U245" s="118"/>
      <c r="V245" s="132"/>
      <c r="W245" s="112"/>
      <c r="X245" s="121"/>
      <c r="Y245" s="122"/>
      <c r="Z245" s="113">
        <f t="shared" si="442"/>
        <v>0</v>
      </c>
      <c r="AA245" s="81">
        <f t="shared" si="443"/>
        <v>0</v>
      </c>
      <c r="AB245" s="112"/>
      <c r="AC245" s="121"/>
      <c r="AD245" s="121"/>
      <c r="AE245" s="123">
        <f t="shared" si="444"/>
        <v>0</v>
      </c>
      <c r="AF245" s="81">
        <f t="shared" si="445"/>
        <v>0</v>
      </c>
      <c r="AG245" s="112"/>
      <c r="AH245" s="121"/>
      <c r="AI245" s="122"/>
      <c r="AJ245" s="113">
        <f t="shared" si="446"/>
        <v>0</v>
      </c>
      <c r="AK245" s="81">
        <f t="shared" si="447"/>
        <v>0</v>
      </c>
      <c r="AL245" s="112"/>
      <c r="AM245" s="121"/>
      <c r="AN245" s="122"/>
      <c r="AO245" s="113">
        <f t="shared" si="448"/>
        <v>0</v>
      </c>
      <c r="AP245" s="81">
        <f t="shared" si="449"/>
        <v>0</v>
      </c>
      <c r="AQ245" s="112"/>
      <c r="AR245" s="121"/>
      <c r="AS245" s="122"/>
      <c r="AT245" s="113">
        <f t="shared" si="450"/>
        <v>0</v>
      </c>
      <c r="AU245" s="81">
        <f t="shared" si="451"/>
        <v>0</v>
      </c>
      <c r="AV245" s="112"/>
      <c r="AW245" s="121"/>
      <c r="AX245" s="122"/>
      <c r="AY245" s="113">
        <f t="shared" si="452"/>
        <v>0</v>
      </c>
      <c r="AZ245" s="81">
        <f t="shared" si="453"/>
        <v>0</v>
      </c>
      <c r="BA245" s="78"/>
      <c r="BB245" s="79">
        <f t="shared" si="439"/>
        <v>0</v>
      </c>
      <c r="BC245" s="115">
        <f t="shared" si="454"/>
        <v>7</v>
      </c>
      <c r="BD245" s="81">
        <f t="shared" si="455"/>
        <v>7</v>
      </c>
      <c r="BE245" s="122"/>
    </row>
    <row r="246" spans="1:57" s="31" customFormat="1" ht="17.5" customHeight="1" thickBot="1" x14ac:dyDescent="0.4">
      <c r="A246" s="353"/>
      <c r="B246" s="358"/>
      <c r="C246" s="329"/>
      <c r="D246" s="353"/>
      <c r="E246" s="51" t="s">
        <v>74</v>
      </c>
      <c r="F246" s="51" t="s">
        <v>75</v>
      </c>
      <c r="G246" s="51">
        <v>8</v>
      </c>
      <c r="H246" s="51">
        <v>1</v>
      </c>
      <c r="I246" s="108">
        <f xml:space="preserve"> SUM(G246*H246)</f>
        <v>8</v>
      </c>
      <c r="J246" s="326"/>
      <c r="K246" s="327"/>
      <c r="L246" s="162">
        <v>7</v>
      </c>
      <c r="M246" s="328"/>
      <c r="N246" s="328"/>
      <c r="O246" s="151">
        <v>1</v>
      </c>
      <c r="P246" s="120"/>
      <c r="Q246" s="111"/>
      <c r="R246" s="111"/>
      <c r="S246" s="111"/>
      <c r="T246" s="111"/>
      <c r="U246" s="118"/>
      <c r="V246" s="132"/>
      <c r="W246" s="112"/>
      <c r="X246" s="121"/>
      <c r="Y246" s="122"/>
      <c r="Z246" s="113">
        <f t="shared" si="442"/>
        <v>0</v>
      </c>
      <c r="AA246" s="81">
        <f t="shared" si="443"/>
        <v>0</v>
      </c>
      <c r="AB246" s="112"/>
      <c r="AC246" s="121"/>
      <c r="AD246" s="121"/>
      <c r="AE246" s="123">
        <f t="shared" si="444"/>
        <v>0</v>
      </c>
      <c r="AF246" s="81">
        <f t="shared" si="445"/>
        <v>0</v>
      </c>
      <c r="AG246" s="112"/>
      <c r="AH246" s="121"/>
      <c r="AI246" s="122"/>
      <c r="AJ246" s="113">
        <f t="shared" si="446"/>
        <v>0</v>
      </c>
      <c r="AK246" s="81">
        <f t="shared" si="447"/>
        <v>0</v>
      </c>
      <c r="AL246" s="112"/>
      <c r="AM246" s="121"/>
      <c r="AN246" s="122"/>
      <c r="AO246" s="113">
        <f t="shared" si="448"/>
        <v>0</v>
      </c>
      <c r="AP246" s="81">
        <f t="shared" si="449"/>
        <v>0</v>
      </c>
      <c r="AQ246" s="112"/>
      <c r="AR246" s="121"/>
      <c r="AS246" s="122"/>
      <c r="AT246" s="113">
        <f t="shared" si="450"/>
        <v>0</v>
      </c>
      <c r="AU246" s="81">
        <f t="shared" si="451"/>
        <v>0</v>
      </c>
      <c r="AV246" s="112"/>
      <c r="AW246" s="121"/>
      <c r="AX246" s="122"/>
      <c r="AY246" s="113">
        <f t="shared" si="452"/>
        <v>0</v>
      </c>
      <c r="AZ246" s="81">
        <f t="shared" si="453"/>
        <v>0</v>
      </c>
      <c r="BA246" s="78"/>
      <c r="BB246" s="79">
        <f t="shared" si="439"/>
        <v>0</v>
      </c>
      <c r="BC246" s="115">
        <f t="shared" si="454"/>
        <v>7</v>
      </c>
      <c r="BD246" s="81">
        <f t="shared" si="455"/>
        <v>7</v>
      </c>
      <c r="BE246" s="122"/>
    </row>
    <row r="247" spans="1:57" s="31" customFormat="1" ht="17.5" customHeight="1" thickBot="1" x14ac:dyDescent="0.4">
      <c r="A247" s="353"/>
      <c r="B247" s="358"/>
      <c r="C247" s="329"/>
      <c r="D247" s="353"/>
      <c r="E247" s="258" t="s">
        <v>60</v>
      </c>
      <c r="F247" s="259"/>
      <c r="G247" s="92"/>
      <c r="H247" s="141">
        <f>SUM(H241:H246)</f>
        <v>6</v>
      </c>
      <c r="I247" s="94">
        <f>SUM(I241:I246)</f>
        <v>36</v>
      </c>
      <c r="J247" s="326"/>
      <c r="K247" s="327"/>
      <c r="L247" s="95">
        <f>SUM(L241:L246)</f>
        <v>33</v>
      </c>
      <c r="M247" s="328"/>
      <c r="N247" s="328"/>
      <c r="O247" s="153"/>
      <c r="P247" s="198"/>
      <c r="Q247" s="68"/>
      <c r="R247" s="68"/>
      <c r="S247" s="68"/>
      <c r="T247" s="68"/>
      <c r="U247" s="209"/>
      <c r="V247" s="199"/>
      <c r="W247" s="200"/>
      <c r="X247" s="201"/>
      <c r="Y247" s="202"/>
      <c r="Z247" s="203"/>
      <c r="AA247" s="203"/>
      <c r="AB247" s="200"/>
      <c r="AC247" s="201"/>
      <c r="AD247" s="201"/>
      <c r="AE247" s="204"/>
      <c r="AF247" s="203"/>
      <c r="AG247" s="200"/>
      <c r="AH247" s="201"/>
      <c r="AI247" s="202"/>
      <c r="AJ247" s="203"/>
      <c r="AK247" s="203"/>
      <c r="AL247" s="200"/>
      <c r="AM247" s="201"/>
      <c r="AN247" s="202"/>
      <c r="AO247" s="203"/>
      <c r="AP247" s="203"/>
      <c r="AQ247" s="200"/>
      <c r="AR247" s="201"/>
      <c r="AS247" s="202"/>
      <c r="AT247" s="203"/>
      <c r="AU247" s="203"/>
      <c r="AV247" s="200"/>
      <c r="AW247" s="201"/>
      <c r="AX247" s="202"/>
      <c r="AY247" s="203"/>
      <c r="AZ247" s="203"/>
      <c r="BA247" s="206"/>
      <c r="BB247" s="223"/>
      <c r="BC247" s="197"/>
      <c r="BD247" s="228">
        <f>SUM(BD241:BD246)</f>
        <v>33</v>
      </c>
      <c r="BE247" s="202"/>
    </row>
    <row r="248" spans="1:57" s="31" customFormat="1" ht="17.5" customHeight="1" thickBot="1" x14ac:dyDescent="0.4">
      <c r="A248" s="353"/>
      <c r="B248" s="358"/>
      <c r="C248" s="329"/>
      <c r="D248" s="353"/>
      <c r="E248" s="51" t="s">
        <v>71</v>
      </c>
      <c r="F248" s="51" t="s">
        <v>58</v>
      </c>
      <c r="G248" s="51">
        <v>8</v>
      </c>
      <c r="H248" s="51">
        <v>1</v>
      </c>
      <c r="I248" s="108">
        <f xml:space="preserve"> SUM(G248*H248)</f>
        <v>8</v>
      </c>
      <c r="J248" s="326">
        <f xml:space="preserve"> I250/8</f>
        <v>2</v>
      </c>
      <c r="K248" s="327" t="s">
        <v>250</v>
      </c>
      <c r="L248" s="162">
        <v>7</v>
      </c>
      <c r="M248" s="328">
        <f>L250/8</f>
        <v>1.75</v>
      </c>
      <c r="N248" s="328">
        <f>SUM(BD248:BD249)/8</f>
        <v>1.75</v>
      </c>
      <c r="O248" s="151">
        <v>1</v>
      </c>
      <c r="P248" s="120" t="s">
        <v>209</v>
      </c>
      <c r="Q248" s="26">
        <v>0.29166666666666669</v>
      </c>
      <c r="R248" s="26">
        <v>0.79166666666666663</v>
      </c>
      <c r="S248" s="111"/>
      <c r="T248" s="111"/>
      <c r="U248" s="118"/>
      <c r="V248" s="132" t="s">
        <v>188</v>
      </c>
      <c r="W248" s="112"/>
      <c r="X248" s="121"/>
      <c r="Y248" s="122"/>
      <c r="Z248" s="113">
        <f t="shared" ref="Z248:Z249" si="456">(Y248-X248)*24</f>
        <v>0</v>
      </c>
      <c r="AA248" s="81">
        <f t="shared" ref="AA248:AA249" si="457">IF(Z248&gt;=6, (Z248-1), IF(Z248&lt;6, Z248))</f>
        <v>0</v>
      </c>
      <c r="AB248" s="112"/>
      <c r="AC248" s="121"/>
      <c r="AD248" s="121"/>
      <c r="AE248" s="123">
        <f t="shared" ref="AE248:AE249" si="458">(AD248-AC248)*24</f>
        <v>0</v>
      </c>
      <c r="AF248" s="81">
        <f t="shared" ref="AF248:AF249" si="459">IF(AE248&gt;=6, (AE248-1), IF(AE248&lt;6, AE248))</f>
        <v>0</v>
      </c>
      <c r="AG248" s="112"/>
      <c r="AH248" s="121"/>
      <c r="AI248" s="122"/>
      <c r="AJ248" s="113">
        <f t="shared" ref="AJ248:AJ249" si="460">(AI248-AH248)*24</f>
        <v>0</v>
      </c>
      <c r="AK248" s="81">
        <f t="shared" ref="AK248:AK249" si="461">IF(AJ248&gt;=6, (AJ248-1), IF(AJ248&lt;6, AJ248))</f>
        <v>0</v>
      </c>
      <c r="AL248" s="112"/>
      <c r="AM248" s="121"/>
      <c r="AN248" s="122"/>
      <c r="AO248" s="113">
        <f t="shared" ref="AO248:AO249" si="462">(AN248-AM248)*24</f>
        <v>0</v>
      </c>
      <c r="AP248" s="81">
        <f t="shared" ref="AP248:AP249" si="463">IF(AO248&gt;=6, (AO248-1), IF(AO248&lt;6, AO248))</f>
        <v>0</v>
      </c>
      <c r="AQ248" s="112"/>
      <c r="AR248" s="121"/>
      <c r="AS248" s="122"/>
      <c r="AT248" s="113">
        <f t="shared" ref="AT248:AT249" si="464">(AS248-AR248)*24</f>
        <v>0</v>
      </c>
      <c r="AU248" s="81">
        <f t="shared" ref="AU248:AU249" si="465">IF(AT248&gt;=6, (AT248-1), IF(AT248&lt;6, AT248))</f>
        <v>0</v>
      </c>
      <c r="AV248" s="112"/>
      <c r="AW248" s="121"/>
      <c r="AX248" s="122"/>
      <c r="AY248" s="113">
        <f t="shared" ref="AY248:AY249" si="466">(AX248-AW248)*24</f>
        <v>0</v>
      </c>
      <c r="AZ248" s="81">
        <f t="shared" ref="AZ248:AZ249" si="467">IF(AY248&gt;=6, (AY248-1), IF(AY248&lt;6, AY248))</f>
        <v>0</v>
      </c>
      <c r="BA248" s="78"/>
      <c r="BB248" s="79">
        <f t="shared" si="439"/>
        <v>0</v>
      </c>
      <c r="BC248" s="80">
        <f>IF(BB248&gt;0, BB248, IF(BB248=0, L248))</f>
        <v>7</v>
      </c>
      <c r="BD248" s="81">
        <f>IF(BA248=1, (BC248-L248), IF(BA248=0, BC248))</f>
        <v>7</v>
      </c>
      <c r="BE248" s="122"/>
    </row>
    <row r="249" spans="1:57" s="31" customFormat="1" ht="17.5" customHeight="1" thickBot="1" x14ac:dyDescent="0.4">
      <c r="A249" s="353"/>
      <c r="B249" s="358"/>
      <c r="C249" s="329"/>
      <c r="D249" s="353"/>
      <c r="E249" s="51" t="s">
        <v>52</v>
      </c>
      <c r="F249" s="51" t="s">
        <v>83</v>
      </c>
      <c r="G249" s="51">
        <v>8</v>
      </c>
      <c r="H249" s="51">
        <v>1</v>
      </c>
      <c r="I249" s="108">
        <f xml:space="preserve"> SUM(G249*H249)</f>
        <v>8</v>
      </c>
      <c r="J249" s="326"/>
      <c r="K249" s="327"/>
      <c r="L249" s="162">
        <v>7</v>
      </c>
      <c r="M249" s="328"/>
      <c r="N249" s="328"/>
      <c r="O249" s="151">
        <v>1</v>
      </c>
      <c r="P249" s="120"/>
      <c r="Q249" s="111"/>
      <c r="R249" s="111"/>
      <c r="S249" s="111"/>
      <c r="T249" s="111"/>
      <c r="U249" s="118"/>
      <c r="V249" s="132"/>
      <c r="W249" s="112"/>
      <c r="X249" s="121"/>
      <c r="Y249" s="122"/>
      <c r="Z249" s="113">
        <f t="shared" si="456"/>
        <v>0</v>
      </c>
      <c r="AA249" s="81">
        <f t="shared" si="457"/>
        <v>0</v>
      </c>
      <c r="AB249" s="112"/>
      <c r="AC249" s="121"/>
      <c r="AD249" s="121"/>
      <c r="AE249" s="123">
        <f t="shared" si="458"/>
        <v>0</v>
      </c>
      <c r="AF249" s="81">
        <f t="shared" si="459"/>
        <v>0</v>
      </c>
      <c r="AG249" s="112"/>
      <c r="AH249" s="121"/>
      <c r="AI249" s="122"/>
      <c r="AJ249" s="113">
        <f t="shared" si="460"/>
        <v>0</v>
      </c>
      <c r="AK249" s="81">
        <f t="shared" si="461"/>
        <v>0</v>
      </c>
      <c r="AL249" s="112"/>
      <c r="AM249" s="121"/>
      <c r="AN249" s="122"/>
      <c r="AO249" s="113">
        <f t="shared" si="462"/>
        <v>0</v>
      </c>
      <c r="AP249" s="81">
        <f t="shared" si="463"/>
        <v>0</v>
      </c>
      <c r="AQ249" s="112"/>
      <c r="AR249" s="121"/>
      <c r="AS249" s="122"/>
      <c r="AT249" s="113">
        <f t="shared" si="464"/>
        <v>0</v>
      </c>
      <c r="AU249" s="81">
        <f t="shared" si="465"/>
        <v>0</v>
      </c>
      <c r="AV249" s="112"/>
      <c r="AW249" s="121"/>
      <c r="AX249" s="122"/>
      <c r="AY249" s="113">
        <f t="shared" si="466"/>
        <v>0</v>
      </c>
      <c r="AZ249" s="81">
        <f t="shared" si="467"/>
        <v>0</v>
      </c>
      <c r="BA249" s="78"/>
      <c r="BB249" s="79">
        <f t="shared" si="439"/>
        <v>0</v>
      </c>
      <c r="BC249" s="115">
        <f>IF(BB249&gt;0, BB249, IF(BB249=0, L249))</f>
        <v>7</v>
      </c>
      <c r="BD249" s="81">
        <f>IF(BA249=1, (BC249-L249), IF(BA249=0, BC249))</f>
        <v>7</v>
      </c>
      <c r="BE249" s="122"/>
    </row>
    <row r="250" spans="1:57" s="31" customFormat="1" ht="17.5" customHeight="1" x14ac:dyDescent="0.35">
      <c r="A250" s="353"/>
      <c r="B250" s="359"/>
      <c r="C250" s="329"/>
      <c r="D250" s="353"/>
      <c r="E250" s="258" t="s">
        <v>143</v>
      </c>
      <c r="F250" s="259"/>
      <c r="G250" s="92"/>
      <c r="H250" s="141">
        <f>SUM(H248:H249)</f>
        <v>2</v>
      </c>
      <c r="I250" s="94">
        <f>SUM(I248:I249)</f>
        <v>16</v>
      </c>
      <c r="J250" s="326"/>
      <c r="K250" s="327"/>
      <c r="L250" s="95">
        <f>SUM(L248:L249)</f>
        <v>14</v>
      </c>
      <c r="M250" s="328"/>
      <c r="N250" s="328"/>
      <c r="O250" s="153"/>
      <c r="P250" s="198"/>
      <c r="Q250" s="68"/>
      <c r="R250" s="68"/>
      <c r="S250" s="68"/>
      <c r="T250" s="68"/>
      <c r="U250" s="209"/>
      <c r="V250" s="199"/>
      <c r="W250" s="200"/>
      <c r="X250" s="201"/>
      <c r="Y250" s="202"/>
      <c r="Z250" s="203"/>
      <c r="AA250" s="203"/>
      <c r="AB250" s="200"/>
      <c r="AC250" s="201"/>
      <c r="AD250" s="201"/>
      <c r="AE250" s="204"/>
      <c r="AF250" s="203"/>
      <c r="AG250" s="200"/>
      <c r="AH250" s="201"/>
      <c r="AI250" s="202"/>
      <c r="AJ250" s="203"/>
      <c r="AK250" s="203"/>
      <c r="AL250" s="200"/>
      <c r="AM250" s="201"/>
      <c r="AN250" s="202"/>
      <c r="AO250" s="203"/>
      <c r="AP250" s="203"/>
      <c r="AQ250" s="200"/>
      <c r="AR250" s="201"/>
      <c r="AS250" s="202"/>
      <c r="AT250" s="203"/>
      <c r="AU250" s="203"/>
      <c r="AV250" s="200"/>
      <c r="AW250" s="201"/>
      <c r="AX250" s="202"/>
      <c r="AY250" s="203"/>
      <c r="AZ250" s="203"/>
      <c r="BA250" s="204"/>
      <c r="BB250" s="224"/>
      <c r="BC250" s="203"/>
      <c r="BD250" s="228">
        <f>SUM(BD248:BD249)</f>
        <v>14</v>
      </c>
      <c r="BE250" s="202"/>
    </row>
    <row r="251" spans="1:57" s="31" customFormat="1" ht="17.5" customHeight="1" thickBot="1" x14ac:dyDescent="0.4">
      <c r="A251" s="100"/>
      <c r="B251" s="101"/>
      <c r="C251" s="102"/>
      <c r="D251" s="102"/>
      <c r="E251" s="101"/>
      <c r="F251" s="101"/>
      <c r="G251" s="101"/>
      <c r="H251" s="101"/>
      <c r="I251" s="101"/>
      <c r="J251" s="102"/>
      <c r="K251" s="103"/>
      <c r="L251" s="104"/>
      <c r="M251" s="105"/>
      <c r="N251" s="105"/>
      <c r="O251" s="99"/>
      <c r="P251" s="198"/>
      <c r="Q251" s="68"/>
      <c r="R251" s="68"/>
      <c r="S251" s="68"/>
      <c r="T251" s="68"/>
      <c r="U251" s="209"/>
      <c r="V251" s="199"/>
      <c r="W251" s="200"/>
      <c r="X251" s="201"/>
      <c r="Y251" s="202"/>
      <c r="Z251" s="203"/>
      <c r="AA251" s="203"/>
      <c r="AB251" s="200"/>
      <c r="AC251" s="201"/>
      <c r="AD251" s="201"/>
      <c r="AE251" s="204"/>
      <c r="AF251" s="203"/>
      <c r="AG251" s="200"/>
      <c r="AH251" s="201"/>
      <c r="AI251" s="202"/>
      <c r="AJ251" s="203"/>
      <c r="AK251" s="203"/>
      <c r="AL251" s="200"/>
      <c r="AM251" s="201"/>
      <c r="AN251" s="202"/>
      <c r="AO251" s="203"/>
      <c r="AP251" s="203"/>
      <c r="AQ251" s="200"/>
      <c r="AR251" s="201"/>
      <c r="AS251" s="202"/>
      <c r="AT251" s="203"/>
      <c r="AU251" s="203"/>
      <c r="AV251" s="200"/>
      <c r="AW251" s="201"/>
      <c r="AX251" s="202"/>
      <c r="AY251" s="203"/>
      <c r="AZ251" s="203"/>
      <c r="BA251" s="206"/>
      <c r="BB251" s="223"/>
      <c r="BC251" s="194"/>
      <c r="BD251" s="208"/>
      <c r="BE251" s="202"/>
    </row>
    <row r="252" spans="1:57" s="31" customFormat="1" ht="17.5" customHeight="1" thickBot="1" x14ac:dyDescent="0.4">
      <c r="A252" s="353">
        <v>24</v>
      </c>
      <c r="B252" s="357" t="s">
        <v>36</v>
      </c>
      <c r="C252" s="329" t="s">
        <v>251</v>
      </c>
      <c r="D252" s="353" t="s">
        <v>179</v>
      </c>
      <c r="E252" s="51" t="s">
        <v>121</v>
      </c>
      <c r="F252" s="51" t="s">
        <v>92</v>
      </c>
      <c r="G252" s="154">
        <v>8</v>
      </c>
      <c r="H252" s="51">
        <v>1</v>
      </c>
      <c r="I252" s="108">
        <f xml:space="preserve"> SUM(G252*H252)</f>
        <v>8</v>
      </c>
      <c r="J252" s="326">
        <f xml:space="preserve"> I254/8</f>
        <v>2</v>
      </c>
      <c r="K252" s="327" t="s">
        <v>41</v>
      </c>
      <c r="L252" s="162">
        <v>7</v>
      </c>
      <c r="M252" s="328">
        <f>L254/8</f>
        <v>1.75</v>
      </c>
      <c r="N252" s="328">
        <f>SUM(BD252:BD253)/8</f>
        <v>1.75</v>
      </c>
      <c r="O252" s="151">
        <v>1</v>
      </c>
      <c r="P252" s="110" t="s">
        <v>252</v>
      </c>
      <c r="Q252" s="26">
        <v>0.29166666666666669</v>
      </c>
      <c r="R252" s="26">
        <v>0.625</v>
      </c>
      <c r="S252" s="26">
        <v>0.29166666666666669</v>
      </c>
      <c r="T252" s="26">
        <v>0.5</v>
      </c>
      <c r="U252" s="118"/>
      <c r="V252" s="132" t="s">
        <v>69</v>
      </c>
      <c r="W252" s="112"/>
      <c r="X252" s="121"/>
      <c r="Y252" s="122"/>
      <c r="Z252" s="113">
        <f t="shared" ref="Z252:Z253" si="468">(Y252-X252)*24</f>
        <v>0</v>
      </c>
      <c r="AA252" s="81">
        <f t="shared" ref="AA252:AA253" si="469">IF(Z252&gt;=6, (Z252-1), IF(Z252&lt;6, Z252))</f>
        <v>0</v>
      </c>
      <c r="AB252" s="112"/>
      <c r="AC252" s="121"/>
      <c r="AD252" s="121"/>
      <c r="AE252" s="123">
        <f t="shared" ref="AE252:AE253" si="470">(AD252-AC252)*24</f>
        <v>0</v>
      </c>
      <c r="AF252" s="81">
        <f t="shared" ref="AF252:AF253" si="471">IF(AE252&gt;=6, (AE252-1), IF(AE252&lt;6, AE252))</f>
        <v>0</v>
      </c>
      <c r="AG252" s="112"/>
      <c r="AH252" s="121"/>
      <c r="AI252" s="122"/>
      <c r="AJ252" s="113">
        <f t="shared" ref="AJ252:AJ253" si="472">(AI252-AH252)*24</f>
        <v>0</v>
      </c>
      <c r="AK252" s="81">
        <f t="shared" ref="AK252:AK253" si="473">IF(AJ252&gt;=6, (AJ252-1), IF(AJ252&lt;6, AJ252))</f>
        <v>0</v>
      </c>
      <c r="AL252" s="112"/>
      <c r="AM252" s="121"/>
      <c r="AN252" s="122"/>
      <c r="AO252" s="113">
        <f t="shared" ref="AO252:AO253" si="474">(AN252-AM252)*24</f>
        <v>0</v>
      </c>
      <c r="AP252" s="81">
        <f t="shared" ref="AP252:AP253" si="475">IF(AO252&gt;=6, (AO252-1), IF(AO252&lt;6, AO252))</f>
        <v>0</v>
      </c>
      <c r="AQ252" s="112"/>
      <c r="AR252" s="121"/>
      <c r="AS252" s="122"/>
      <c r="AT252" s="113">
        <f t="shared" ref="AT252:AT253" si="476">(AS252-AR252)*24</f>
        <v>0</v>
      </c>
      <c r="AU252" s="81">
        <f t="shared" ref="AU252:AU253" si="477">IF(AT252&gt;=6, (AT252-1), IF(AT252&lt;6, AT252))</f>
        <v>0</v>
      </c>
      <c r="AV252" s="112"/>
      <c r="AW252" s="121"/>
      <c r="AX252" s="122"/>
      <c r="AY252" s="113">
        <f t="shared" ref="AY252:AY253" si="478">(AX252-AW252)*24</f>
        <v>0</v>
      </c>
      <c r="AZ252" s="81">
        <f t="shared" ref="AZ252:AZ253" si="479">IF(AY252&gt;=6, (AY252-1), IF(AY252&lt;6, AY252))</f>
        <v>0</v>
      </c>
      <c r="BA252" s="78"/>
      <c r="BB252" s="79">
        <f t="shared" ref="BB252:BB253" si="480">AA252+AF252+AK252+AP252+AU252+AZ252</f>
        <v>0</v>
      </c>
      <c r="BC252" s="115">
        <f>IF(BB252&gt;0, BB252, IF(BB252=0, L252))</f>
        <v>7</v>
      </c>
      <c r="BD252" s="81">
        <f>IF(BA252=1, (BC252-L252), IF(BA252=0, BC252))</f>
        <v>7</v>
      </c>
      <c r="BE252" s="122"/>
    </row>
    <row r="253" spans="1:57" s="31" customFormat="1" ht="17.5" customHeight="1" thickBot="1" x14ac:dyDescent="0.4">
      <c r="A253" s="353"/>
      <c r="B253" s="358"/>
      <c r="C253" s="329"/>
      <c r="D253" s="353"/>
      <c r="E253" s="51" t="s">
        <v>40</v>
      </c>
      <c r="F253" s="51" t="s">
        <v>223</v>
      </c>
      <c r="G253" s="154">
        <v>8</v>
      </c>
      <c r="H253" s="154">
        <v>1</v>
      </c>
      <c r="I253" s="108">
        <f xml:space="preserve"> SUM(G253*H253)</f>
        <v>8</v>
      </c>
      <c r="J253" s="326"/>
      <c r="K253" s="327"/>
      <c r="L253" s="162">
        <v>7</v>
      </c>
      <c r="M253" s="328"/>
      <c r="N253" s="328"/>
      <c r="O253" s="151">
        <v>1</v>
      </c>
      <c r="P253" s="120" t="s">
        <v>253</v>
      </c>
      <c r="Q253" s="111">
        <v>0.5</v>
      </c>
      <c r="R253" s="111">
        <v>0.83333333333333337</v>
      </c>
      <c r="S253" s="111"/>
      <c r="T253" s="111"/>
      <c r="U253" s="118"/>
      <c r="V253" s="132" t="s">
        <v>43</v>
      </c>
      <c r="W253" s="112"/>
      <c r="X253" s="121"/>
      <c r="Y253" s="122"/>
      <c r="Z253" s="113">
        <f t="shared" si="468"/>
        <v>0</v>
      </c>
      <c r="AA253" s="81">
        <f t="shared" si="469"/>
        <v>0</v>
      </c>
      <c r="AB253" s="112"/>
      <c r="AC253" s="121"/>
      <c r="AD253" s="121"/>
      <c r="AE253" s="123">
        <f t="shared" si="470"/>
        <v>0</v>
      </c>
      <c r="AF253" s="81">
        <f t="shared" si="471"/>
        <v>0</v>
      </c>
      <c r="AG253" s="112"/>
      <c r="AH253" s="121"/>
      <c r="AI253" s="122"/>
      <c r="AJ253" s="113">
        <f t="shared" si="472"/>
        <v>0</v>
      </c>
      <c r="AK253" s="81">
        <f t="shared" si="473"/>
        <v>0</v>
      </c>
      <c r="AL253" s="112"/>
      <c r="AM253" s="121"/>
      <c r="AN253" s="122"/>
      <c r="AO253" s="113">
        <f t="shared" si="474"/>
        <v>0</v>
      </c>
      <c r="AP253" s="81">
        <f t="shared" si="475"/>
        <v>0</v>
      </c>
      <c r="AQ253" s="112"/>
      <c r="AR253" s="121"/>
      <c r="AS253" s="122"/>
      <c r="AT253" s="113">
        <f t="shared" si="476"/>
        <v>0</v>
      </c>
      <c r="AU253" s="81">
        <f t="shared" si="477"/>
        <v>0</v>
      </c>
      <c r="AV253" s="112"/>
      <c r="AW253" s="121"/>
      <c r="AX253" s="122"/>
      <c r="AY253" s="113">
        <f t="shared" si="478"/>
        <v>0</v>
      </c>
      <c r="AZ253" s="81">
        <f t="shared" si="479"/>
        <v>0</v>
      </c>
      <c r="BA253" s="78"/>
      <c r="BB253" s="79">
        <f t="shared" si="480"/>
        <v>0</v>
      </c>
      <c r="BC253" s="115">
        <f>IF(BB253&gt;0, BB253, IF(BB253=0, L253))</f>
        <v>7</v>
      </c>
      <c r="BD253" s="81">
        <f>IF(BA253=1, (BC253-L253), IF(BA253=0, BC253))</f>
        <v>7</v>
      </c>
      <c r="BE253" s="122"/>
    </row>
    <row r="254" spans="1:57" s="31" customFormat="1" ht="17.5" customHeight="1" x14ac:dyDescent="0.35">
      <c r="A254" s="353"/>
      <c r="B254" s="359"/>
      <c r="C254" s="329"/>
      <c r="D254" s="353"/>
      <c r="E254" s="258" t="s">
        <v>56</v>
      </c>
      <c r="F254" s="259"/>
      <c r="G254" s="92"/>
      <c r="H254" s="141">
        <f>SUM(H252:H253)</f>
        <v>2</v>
      </c>
      <c r="I254" s="94">
        <f>SUM(I252:I253)</f>
        <v>16</v>
      </c>
      <c r="J254" s="326"/>
      <c r="K254" s="327"/>
      <c r="L254" s="95">
        <f>SUM(L252:L253)</f>
        <v>14</v>
      </c>
      <c r="M254" s="328"/>
      <c r="N254" s="328"/>
      <c r="O254" s="153"/>
      <c r="P254" s="198"/>
      <c r="Q254" s="68"/>
      <c r="R254" s="68"/>
      <c r="S254" s="68"/>
      <c r="T254" s="68"/>
      <c r="U254" s="209"/>
      <c r="V254" s="199"/>
      <c r="W254" s="200"/>
      <c r="X254" s="201"/>
      <c r="Y254" s="202"/>
      <c r="Z254" s="203"/>
      <c r="AA254" s="203"/>
      <c r="AB254" s="200"/>
      <c r="AC254" s="201"/>
      <c r="AD254" s="201"/>
      <c r="AE254" s="204"/>
      <c r="AF254" s="203"/>
      <c r="AG254" s="200"/>
      <c r="AH254" s="201"/>
      <c r="AI254" s="202"/>
      <c r="AJ254" s="203"/>
      <c r="AK254" s="203"/>
      <c r="AL254" s="200"/>
      <c r="AM254" s="201"/>
      <c r="AN254" s="202"/>
      <c r="AO254" s="203"/>
      <c r="AP254" s="203"/>
      <c r="AQ254" s="200"/>
      <c r="AR254" s="201"/>
      <c r="AS254" s="202"/>
      <c r="AT254" s="203"/>
      <c r="AU254" s="203"/>
      <c r="AV254" s="200"/>
      <c r="AW254" s="201"/>
      <c r="AX254" s="202"/>
      <c r="AY254" s="203"/>
      <c r="AZ254" s="203"/>
      <c r="BA254" s="204"/>
      <c r="BB254" s="224"/>
      <c r="BC254" s="203"/>
      <c r="BD254" s="228">
        <f>SUM(BD252:BD253)</f>
        <v>14</v>
      </c>
      <c r="BE254" s="202"/>
    </row>
    <row r="255" spans="1:57" s="31" customFormat="1" ht="17.5" customHeight="1" thickBot="1" x14ac:dyDescent="0.4">
      <c r="A255" s="100"/>
      <c r="B255" s="101"/>
      <c r="C255" s="102"/>
      <c r="D255" s="102"/>
      <c r="E255" s="101"/>
      <c r="F255" s="101"/>
      <c r="G255" s="101"/>
      <c r="H255" s="101"/>
      <c r="I255" s="101"/>
      <c r="J255" s="102"/>
      <c r="K255" s="103"/>
      <c r="L255" s="104"/>
      <c r="M255" s="105"/>
      <c r="N255" s="105"/>
      <c r="O255" s="99"/>
      <c r="P255" s="198"/>
      <c r="Q255" s="68"/>
      <c r="R255" s="68"/>
      <c r="S255" s="68"/>
      <c r="T255" s="68"/>
      <c r="U255" s="209"/>
      <c r="V255" s="199"/>
      <c r="W255" s="200"/>
      <c r="X255" s="201"/>
      <c r="Y255" s="202"/>
      <c r="Z255" s="194"/>
      <c r="AA255" s="203"/>
      <c r="AB255" s="200"/>
      <c r="AC255" s="201"/>
      <c r="AD255" s="201"/>
      <c r="AE255" s="206"/>
      <c r="AF255" s="203"/>
      <c r="AG255" s="200"/>
      <c r="AH255" s="201"/>
      <c r="AI255" s="202"/>
      <c r="AJ255" s="194"/>
      <c r="AK255" s="203"/>
      <c r="AL255" s="200"/>
      <c r="AM255" s="201"/>
      <c r="AN255" s="202"/>
      <c r="AO255" s="194"/>
      <c r="AP255" s="203"/>
      <c r="AQ255" s="200"/>
      <c r="AR255" s="201"/>
      <c r="AS255" s="202"/>
      <c r="AT255" s="194"/>
      <c r="AU255" s="203"/>
      <c r="AV255" s="200"/>
      <c r="AW255" s="201"/>
      <c r="AX255" s="202"/>
      <c r="AY255" s="194"/>
      <c r="AZ255" s="203"/>
      <c r="BA255" s="206"/>
      <c r="BB255" s="223"/>
      <c r="BC255" s="194"/>
      <c r="BD255" s="208"/>
      <c r="BE255" s="202"/>
    </row>
    <row r="256" spans="1:57" s="31" customFormat="1" ht="17.5" customHeight="1" x14ac:dyDescent="0.35">
      <c r="A256" s="353">
        <v>24</v>
      </c>
      <c r="B256" s="357" t="s">
        <v>36</v>
      </c>
      <c r="C256" s="372" t="s">
        <v>254</v>
      </c>
      <c r="D256" s="353" t="s">
        <v>179</v>
      </c>
      <c r="E256" s="289" t="s">
        <v>39</v>
      </c>
      <c r="F256" s="292" t="s">
        <v>58</v>
      </c>
      <c r="G256" s="324">
        <v>9</v>
      </c>
      <c r="H256" s="278">
        <v>3</v>
      </c>
      <c r="I256" s="281">
        <f xml:space="preserve"> SUM(G256*H256)</f>
        <v>27</v>
      </c>
      <c r="J256" s="326">
        <f xml:space="preserve"> I259/8</f>
        <v>3.375</v>
      </c>
      <c r="K256" s="327" t="s">
        <v>41</v>
      </c>
      <c r="L256" s="162">
        <v>8</v>
      </c>
      <c r="M256" s="328">
        <f>L259/8</f>
        <v>3</v>
      </c>
      <c r="N256" s="328">
        <f>SUM(BD256:BD258)/8</f>
        <v>3</v>
      </c>
      <c r="O256" s="148">
        <v>1</v>
      </c>
      <c r="P256" s="82" t="s">
        <v>255</v>
      </c>
      <c r="Q256" s="57">
        <v>0.33333333333333331</v>
      </c>
      <c r="R256" s="57">
        <v>0.70833333333333337</v>
      </c>
      <c r="S256" s="57"/>
      <c r="T256" s="57"/>
      <c r="U256" s="118"/>
      <c r="V256" s="58" t="s">
        <v>43</v>
      </c>
      <c r="W256" s="59"/>
      <c r="X256" s="83"/>
      <c r="Y256" s="65"/>
      <c r="Z256" s="29">
        <f t="shared" ref="Z256" si="481">(Y256-X256)*24</f>
        <v>0</v>
      </c>
      <c r="AA256" s="64">
        <f t="shared" ref="AA256:AA258" si="482">IF(Z256&gt;=6, (Z256-1), IF(Z256&lt;6, Z256))</f>
        <v>0</v>
      </c>
      <c r="AB256" s="59"/>
      <c r="AC256" s="83"/>
      <c r="AD256" s="83"/>
      <c r="AE256" s="62">
        <f t="shared" ref="AE256" si="483">(AD256-AC256)*24</f>
        <v>0</v>
      </c>
      <c r="AF256" s="64">
        <f t="shared" ref="AF256:AF258" si="484">IF(AE256&gt;=6, (AE256-1), IF(AE256&lt;6, AE256))</f>
        <v>0</v>
      </c>
      <c r="AG256" s="59"/>
      <c r="AH256" s="83"/>
      <c r="AI256" s="65"/>
      <c r="AJ256" s="29">
        <f t="shared" ref="AJ256" si="485">(AI256-AH256)*24</f>
        <v>0</v>
      </c>
      <c r="AK256" s="64">
        <f t="shared" ref="AK256:AK258" si="486">IF(AJ256&gt;=6, (AJ256-1), IF(AJ256&lt;6, AJ256))</f>
        <v>0</v>
      </c>
      <c r="AL256" s="59"/>
      <c r="AM256" s="83"/>
      <c r="AN256" s="65"/>
      <c r="AO256" s="29">
        <f t="shared" ref="AO256" si="487">(AN256-AM256)*24</f>
        <v>0</v>
      </c>
      <c r="AP256" s="64">
        <f t="shared" ref="AP256:AP258" si="488">IF(AO256&gt;=6, (AO256-1), IF(AO256&lt;6, AO256))</f>
        <v>0</v>
      </c>
      <c r="AQ256" s="59"/>
      <c r="AR256" s="83"/>
      <c r="AS256" s="65"/>
      <c r="AT256" s="29">
        <f t="shared" ref="AT256" si="489">(AS256-AR256)*24</f>
        <v>0</v>
      </c>
      <c r="AU256" s="64">
        <f t="shared" ref="AU256:AU258" si="490">IF(AT256&gt;=6, (AT256-1), IF(AT256&lt;6, AT256))</f>
        <v>0</v>
      </c>
      <c r="AV256" s="59"/>
      <c r="AW256" s="83"/>
      <c r="AX256" s="65"/>
      <c r="AY256" s="29">
        <f t="shared" ref="AY256" si="491">(AX256-AW256)*24</f>
        <v>0</v>
      </c>
      <c r="AZ256" s="64">
        <f t="shared" ref="AZ256:AZ258" si="492">IF(AY256&gt;=6, (AY256-1), IF(AY256&lt;6, AY256))</f>
        <v>0</v>
      </c>
      <c r="BA256" s="62"/>
      <c r="BB256" s="232">
        <f t="shared" ref="BB256:BB258" si="493">AA256+AF256+AK256+AP256+AU256+AZ256</f>
        <v>0</v>
      </c>
      <c r="BC256" s="13">
        <f>IF(BB256&gt;0, BB256, IF(BB256=0, L256))</f>
        <v>8</v>
      </c>
      <c r="BD256" s="64">
        <f>IF(BA256=1, (BC256-L256), IF(BA256=0, BC256))</f>
        <v>8</v>
      </c>
      <c r="BE256" s="65"/>
    </row>
    <row r="257" spans="1:57" s="31" customFormat="1" ht="17.5" customHeight="1" x14ac:dyDescent="0.35">
      <c r="A257" s="353"/>
      <c r="B257" s="358"/>
      <c r="C257" s="372"/>
      <c r="D257" s="353"/>
      <c r="E257" s="290"/>
      <c r="F257" s="293"/>
      <c r="G257" s="325"/>
      <c r="H257" s="279"/>
      <c r="I257" s="282"/>
      <c r="J257" s="326"/>
      <c r="K257" s="327"/>
      <c r="L257" s="162">
        <v>8</v>
      </c>
      <c r="M257" s="328"/>
      <c r="N257" s="328"/>
      <c r="O257" s="149">
        <v>2</v>
      </c>
      <c r="P257" s="74" t="s">
        <v>256</v>
      </c>
      <c r="Q257" s="26">
        <v>0.33333333333333331</v>
      </c>
      <c r="R257" s="26">
        <v>0.66666666666666663</v>
      </c>
      <c r="S257" s="26"/>
      <c r="T257" s="26"/>
      <c r="U257" s="118"/>
      <c r="V257" s="69" t="s">
        <v>65</v>
      </c>
      <c r="W257" s="70"/>
      <c r="X257" s="28"/>
      <c r="Y257" s="73"/>
      <c r="Z257" s="29">
        <f>(Y257-X257)*24</f>
        <v>0</v>
      </c>
      <c r="AA257" s="64">
        <f t="shared" si="482"/>
        <v>0</v>
      </c>
      <c r="AB257" s="70"/>
      <c r="AC257" s="28"/>
      <c r="AD257" s="28"/>
      <c r="AE257" s="62">
        <f>(AD257-AC257)*24</f>
        <v>0</v>
      </c>
      <c r="AF257" s="64">
        <f t="shared" si="484"/>
        <v>0</v>
      </c>
      <c r="AG257" s="70"/>
      <c r="AH257" s="28"/>
      <c r="AI257" s="73"/>
      <c r="AJ257" s="29">
        <f>(AI257-AH257)*24</f>
        <v>0</v>
      </c>
      <c r="AK257" s="64">
        <f t="shared" si="486"/>
        <v>0</v>
      </c>
      <c r="AL257" s="70"/>
      <c r="AM257" s="28"/>
      <c r="AN257" s="73"/>
      <c r="AO257" s="29">
        <f>(AN257-AM257)*24</f>
        <v>0</v>
      </c>
      <c r="AP257" s="64">
        <f t="shared" si="488"/>
        <v>0</v>
      </c>
      <c r="AQ257" s="70"/>
      <c r="AR257" s="28"/>
      <c r="AS257" s="73"/>
      <c r="AT257" s="29">
        <f>(AS257-AR257)*24</f>
        <v>0</v>
      </c>
      <c r="AU257" s="64">
        <f t="shared" si="490"/>
        <v>0</v>
      </c>
      <c r="AV257" s="70"/>
      <c r="AW257" s="28"/>
      <c r="AX257" s="73"/>
      <c r="AY257" s="29">
        <f>(AX257-AW257)*24</f>
        <v>0</v>
      </c>
      <c r="AZ257" s="64">
        <f t="shared" si="492"/>
        <v>0</v>
      </c>
      <c r="BA257" s="62"/>
      <c r="BB257" s="232">
        <f t="shared" si="493"/>
        <v>0</v>
      </c>
      <c r="BC257" s="13">
        <f>IF(BB257&gt;0, BB257, IF(BB257=0, L257))</f>
        <v>8</v>
      </c>
      <c r="BD257" s="64">
        <f>IF(BA257=1, (BC257-L257), IF(BA257=0, BC257))</f>
        <v>8</v>
      </c>
      <c r="BE257" s="73"/>
    </row>
    <row r="258" spans="1:57" s="31" customFormat="1" ht="17.5" customHeight="1" thickBot="1" x14ac:dyDescent="0.4">
      <c r="A258" s="353"/>
      <c r="B258" s="358"/>
      <c r="C258" s="372"/>
      <c r="D258" s="353"/>
      <c r="E258" s="291"/>
      <c r="F258" s="294"/>
      <c r="G258" s="356"/>
      <c r="H258" s="280"/>
      <c r="I258" s="283"/>
      <c r="J258" s="326"/>
      <c r="K258" s="327"/>
      <c r="L258" s="162">
        <v>8</v>
      </c>
      <c r="M258" s="328"/>
      <c r="N258" s="328"/>
      <c r="O258" s="150">
        <v>3</v>
      </c>
      <c r="P258" s="177" t="s">
        <v>169</v>
      </c>
      <c r="Q258" s="86">
        <v>0.33333333333333331</v>
      </c>
      <c r="R258" s="86">
        <v>0.83333333333333337</v>
      </c>
      <c r="S258" s="86"/>
      <c r="T258" s="86"/>
      <c r="U258" s="118"/>
      <c r="V258" s="88" t="s">
        <v>188</v>
      </c>
      <c r="W258" s="89"/>
      <c r="X258" s="90"/>
      <c r="Y258" s="91"/>
      <c r="Z258" s="77">
        <f>(Y258-X258)*24</f>
        <v>0</v>
      </c>
      <c r="AA258" s="81">
        <f t="shared" si="482"/>
        <v>0</v>
      </c>
      <c r="AB258" s="89"/>
      <c r="AC258" s="90"/>
      <c r="AD258" s="90"/>
      <c r="AE258" s="78">
        <f>(AD258-AC258)*24</f>
        <v>0</v>
      </c>
      <c r="AF258" s="81">
        <f t="shared" si="484"/>
        <v>0</v>
      </c>
      <c r="AG258" s="89"/>
      <c r="AH258" s="90"/>
      <c r="AI258" s="91"/>
      <c r="AJ258" s="77">
        <f>(AI258-AH258)*24</f>
        <v>0</v>
      </c>
      <c r="AK258" s="81">
        <f t="shared" si="486"/>
        <v>0</v>
      </c>
      <c r="AL258" s="89"/>
      <c r="AM258" s="90"/>
      <c r="AN258" s="91"/>
      <c r="AO258" s="77">
        <f>(AN258-AM258)*24</f>
        <v>0</v>
      </c>
      <c r="AP258" s="81">
        <f t="shared" si="488"/>
        <v>0</v>
      </c>
      <c r="AQ258" s="89"/>
      <c r="AR258" s="90"/>
      <c r="AS258" s="91"/>
      <c r="AT258" s="77">
        <f>(AS258-AR258)*24</f>
        <v>0</v>
      </c>
      <c r="AU258" s="81">
        <f t="shared" si="490"/>
        <v>0</v>
      </c>
      <c r="AV258" s="89"/>
      <c r="AW258" s="90"/>
      <c r="AX258" s="91"/>
      <c r="AY258" s="77">
        <f>(AX258-AW258)*24</f>
        <v>0</v>
      </c>
      <c r="AZ258" s="81">
        <f t="shared" si="492"/>
        <v>0</v>
      </c>
      <c r="BA258" s="78"/>
      <c r="BB258" s="79">
        <f t="shared" si="493"/>
        <v>0</v>
      </c>
      <c r="BC258" s="80">
        <f>IF(BB258&gt;0, BB258, IF(BB258=0, L258))</f>
        <v>8</v>
      </c>
      <c r="BD258" s="81">
        <f>IF(BA258=1, (BC258-L258), IF(BA258=0, BC258))</f>
        <v>8</v>
      </c>
      <c r="BE258" s="91"/>
    </row>
    <row r="259" spans="1:57" s="31" customFormat="1" ht="17.5" customHeight="1" x14ac:dyDescent="0.35">
      <c r="A259" s="353"/>
      <c r="B259" s="359"/>
      <c r="C259" s="329"/>
      <c r="D259" s="353"/>
      <c r="E259" s="258" t="s">
        <v>56</v>
      </c>
      <c r="F259" s="259"/>
      <c r="G259" s="92"/>
      <c r="H259" s="141">
        <f>SUM(H256:H256)</f>
        <v>3</v>
      </c>
      <c r="I259" s="94">
        <f>SUM(I256:I256)</f>
        <v>27</v>
      </c>
      <c r="J259" s="326"/>
      <c r="K259" s="327"/>
      <c r="L259" s="95">
        <f>SUM(L256:L258)</f>
        <v>24</v>
      </c>
      <c r="M259" s="328"/>
      <c r="N259" s="328"/>
      <c r="O259" s="153"/>
      <c r="P259" s="198"/>
      <c r="Q259" s="68"/>
      <c r="R259" s="68"/>
      <c r="S259" s="68"/>
      <c r="T259" s="68"/>
      <c r="U259" s="209"/>
      <c r="V259" s="199"/>
      <c r="W259" s="200"/>
      <c r="X259" s="201"/>
      <c r="Y259" s="202"/>
      <c r="Z259" s="203"/>
      <c r="AA259" s="203"/>
      <c r="AB259" s="200"/>
      <c r="AC259" s="201"/>
      <c r="AD259" s="201"/>
      <c r="AE259" s="204"/>
      <c r="AF259" s="203"/>
      <c r="AG259" s="200"/>
      <c r="AH259" s="201"/>
      <c r="AI259" s="202"/>
      <c r="AJ259" s="203"/>
      <c r="AK259" s="203"/>
      <c r="AL259" s="200"/>
      <c r="AM259" s="201"/>
      <c r="AN259" s="202"/>
      <c r="AO259" s="203"/>
      <c r="AP259" s="203"/>
      <c r="AQ259" s="200"/>
      <c r="AR259" s="201"/>
      <c r="AS259" s="202"/>
      <c r="AT259" s="203"/>
      <c r="AU259" s="203"/>
      <c r="AV259" s="200"/>
      <c r="AW259" s="201"/>
      <c r="AX259" s="202"/>
      <c r="AY259" s="203"/>
      <c r="AZ259" s="203"/>
      <c r="BA259" s="204"/>
      <c r="BB259" s="224"/>
      <c r="BC259" s="203"/>
      <c r="BD259" s="228">
        <f>SUM(BD256:BD258)</f>
        <v>24</v>
      </c>
      <c r="BE259" s="202"/>
    </row>
    <row r="260" spans="1:57" s="31" customFormat="1" ht="17.5" customHeight="1" thickBot="1" x14ac:dyDescent="0.4">
      <c r="A260" s="164"/>
      <c r="B260" s="178"/>
      <c r="C260" s="129"/>
      <c r="D260" s="129"/>
      <c r="E260" s="101"/>
      <c r="F260" s="101"/>
      <c r="G260" s="101"/>
      <c r="H260" s="101"/>
      <c r="I260" s="101"/>
      <c r="J260" s="102"/>
      <c r="K260" s="103"/>
      <c r="L260" s="104"/>
      <c r="M260" s="105"/>
      <c r="N260" s="105"/>
      <c r="O260" s="99"/>
      <c r="P260" s="198"/>
      <c r="Q260" s="68"/>
      <c r="R260" s="68"/>
      <c r="S260" s="68"/>
      <c r="T260" s="68"/>
      <c r="U260" s="209"/>
      <c r="V260" s="199"/>
      <c r="W260" s="200"/>
      <c r="X260" s="201"/>
      <c r="Y260" s="202"/>
      <c r="Z260" s="203"/>
      <c r="AA260" s="203"/>
      <c r="AB260" s="200"/>
      <c r="AC260" s="201"/>
      <c r="AD260" s="201"/>
      <c r="AE260" s="204"/>
      <c r="AF260" s="203"/>
      <c r="AG260" s="200"/>
      <c r="AH260" s="201"/>
      <c r="AI260" s="202"/>
      <c r="AJ260" s="203"/>
      <c r="AK260" s="203"/>
      <c r="AL260" s="200"/>
      <c r="AM260" s="201"/>
      <c r="AN260" s="202"/>
      <c r="AO260" s="203"/>
      <c r="AP260" s="203"/>
      <c r="AQ260" s="200"/>
      <c r="AR260" s="201"/>
      <c r="AS260" s="202"/>
      <c r="AT260" s="203"/>
      <c r="AU260" s="203"/>
      <c r="AV260" s="200"/>
      <c r="AW260" s="201"/>
      <c r="AX260" s="202"/>
      <c r="AY260" s="203"/>
      <c r="AZ260" s="203"/>
      <c r="BA260" s="206"/>
      <c r="BB260" s="223"/>
      <c r="BC260" s="194"/>
      <c r="BD260" s="208"/>
      <c r="BE260" s="202"/>
    </row>
    <row r="261" spans="1:57" s="31" customFormat="1" ht="17.5" customHeight="1" thickBot="1" x14ac:dyDescent="0.4">
      <c r="A261" s="364">
        <v>25</v>
      </c>
      <c r="B261" s="179"/>
      <c r="C261" s="367" t="s">
        <v>257</v>
      </c>
      <c r="D261" s="368"/>
      <c r="E261" s="166" t="s">
        <v>74</v>
      </c>
      <c r="F261" s="138" t="s">
        <v>81</v>
      </c>
      <c r="G261" s="138">
        <v>1</v>
      </c>
      <c r="H261" s="138">
        <v>1</v>
      </c>
      <c r="I261" s="138">
        <v>1</v>
      </c>
      <c r="J261" s="369">
        <f>I264/8*3</f>
        <v>1.125</v>
      </c>
      <c r="K261" s="370" t="s">
        <v>63</v>
      </c>
      <c r="L261" s="180">
        <v>1</v>
      </c>
      <c r="M261" s="371">
        <f>L264/8</f>
        <v>0.375</v>
      </c>
      <c r="N261" s="371">
        <f>SUM(BD261:BD263)/8</f>
        <v>0.375</v>
      </c>
      <c r="O261" s="151">
        <v>1</v>
      </c>
      <c r="P261" s="120"/>
      <c r="Q261" s="111"/>
      <c r="R261" s="111"/>
      <c r="S261" s="111"/>
      <c r="T261" s="111"/>
      <c r="U261" s="118"/>
      <c r="V261" s="132"/>
      <c r="W261" s="112"/>
      <c r="X261" s="121"/>
      <c r="Y261" s="122"/>
      <c r="Z261" s="113">
        <f t="shared" ref="Z261:Z263" si="494">(Y261-X261)*24</f>
        <v>0</v>
      </c>
      <c r="AA261" s="81">
        <f t="shared" ref="AA261:AA263" si="495">IF(Z261&gt;=6, (Z261-1), IF(Z261&lt;6, Z261))</f>
        <v>0</v>
      </c>
      <c r="AB261" s="112"/>
      <c r="AC261" s="121"/>
      <c r="AD261" s="121"/>
      <c r="AE261" s="123">
        <f t="shared" ref="AE261:AE263" si="496">(AD261-AC261)*24</f>
        <v>0</v>
      </c>
      <c r="AF261" s="81">
        <f t="shared" ref="AF261:AF263" si="497">IF(AE261&gt;=6, (AE261-1), IF(AE261&lt;6, AE261))</f>
        <v>0</v>
      </c>
      <c r="AG261" s="112"/>
      <c r="AH261" s="121"/>
      <c r="AI261" s="122"/>
      <c r="AJ261" s="113">
        <f t="shared" ref="AJ261:AJ263" si="498">(AI261-AH261)*24</f>
        <v>0</v>
      </c>
      <c r="AK261" s="81">
        <f t="shared" ref="AK261:AK263" si="499">IF(AJ261&gt;=6, (AJ261-1), IF(AJ261&lt;6, AJ261))</f>
        <v>0</v>
      </c>
      <c r="AL261" s="112"/>
      <c r="AM261" s="121"/>
      <c r="AN261" s="122"/>
      <c r="AO261" s="113">
        <f t="shared" ref="AO261:AO263" si="500">(AN261-AM261)*24</f>
        <v>0</v>
      </c>
      <c r="AP261" s="81">
        <f t="shared" ref="AP261:AP263" si="501">IF(AO261&gt;=6, (AO261-1), IF(AO261&lt;6, AO261))</f>
        <v>0</v>
      </c>
      <c r="AQ261" s="112"/>
      <c r="AR261" s="121"/>
      <c r="AS261" s="122"/>
      <c r="AT261" s="113">
        <f t="shared" ref="AT261:AT263" si="502">(AS261-AR261)*24</f>
        <v>0</v>
      </c>
      <c r="AU261" s="81">
        <f t="shared" ref="AU261:AU263" si="503">IF(AT261&gt;=6, (AT261-1), IF(AT261&lt;6, AT261))</f>
        <v>0</v>
      </c>
      <c r="AV261" s="112"/>
      <c r="AW261" s="121"/>
      <c r="AX261" s="122"/>
      <c r="AY261" s="113">
        <f t="shared" ref="AY261:AY263" si="504">(AX261-AW261)*24</f>
        <v>0</v>
      </c>
      <c r="AZ261" s="81">
        <f t="shared" ref="AZ261:AZ263" si="505">IF(AY261&gt;=6, (AY261-1), IF(AY261&lt;6, AY261))</f>
        <v>0</v>
      </c>
      <c r="BA261" s="78"/>
      <c r="BB261" s="79">
        <f t="shared" ref="BB261:BB263" si="506">AA261+AF261+AK261+AP261+AU261+AZ261</f>
        <v>0</v>
      </c>
      <c r="BC261" s="115">
        <f>IF(BB261&gt;0, BB261, IF(BB261=0, L261))</f>
        <v>1</v>
      </c>
      <c r="BD261" s="81">
        <f>IF(BA261=1, (BC261-L261), IF(BA261=0, BC261))</f>
        <v>1</v>
      </c>
      <c r="BE261" s="122"/>
    </row>
    <row r="262" spans="1:57" s="31" customFormat="1" ht="17.5" customHeight="1" thickBot="1" x14ac:dyDescent="0.4">
      <c r="A262" s="365"/>
      <c r="B262" s="179"/>
      <c r="C262" s="367"/>
      <c r="D262" s="368"/>
      <c r="E262" s="166" t="s">
        <v>92</v>
      </c>
      <c r="F262" s="138" t="s">
        <v>67</v>
      </c>
      <c r="G262" s="138">
        <v>1</v>
      </c>
      <c r="H262" s="138">
        <v>1</v>
      </c>
      <c r="I262" s="138">
        <v>1</v>
      </c>
      <c r="J262" s="369"/>
      <c r="K262" s="370"/>
      <c r="L262" s="180">
        <v>1</v>
      </c>
      <c r="M262" s="371"/>
      <c r="N262" s="371"/>
      <c r="O262" s="151">
        <v>1</v>
      </c>
      <c r="P262" s="120"/>
      <c r="Q262" s="111"/>
      <c r="R262" s="111"/>
      <c r="S262" s="111"/>
      <c r="T262" s="111"/>
      <c r="U262" s="118"/>
      <c r="V262" s="132"/>
      <c r="W262" s="112"/>
      <c r="X262" s="121"/>
      <c r="Y262" s="122"/>
      <c r="Z262" s="113">
        <f t="shared" si="494"/>
        <v>0</v>
      </c>
      <c r="AA262" s="81">
        <f t="shared" si="495"/>
        <v>0</v>
      </c>
      <c r="AB262" s="112"/>
      <c r="AC262" s="121"/>
      <c r="AD262" s="121"/>
      <c r="AE262" s="123">
        <f t="shared" si="496"/>
        <v>0</v>
      </c>
      <c r="AF262" s="81">
        <f t="shared" si="497"/>
        <v>0</v>
      </c>
      <c r="AG262" s="112"/>
      <c r="AH262" s="121"/>
      <c r="AI262" s="122"/>
      <c r="AJ262" s="113">
        <f t="shared" si="498"/>
        <v>0</v>
      </c>
      <c r="AK262" s="81">
        <f t="shared" si="499"/>
        <v>0</v>
      </c>
      <c r="AL262" s="112"/>
      <c r="AM262" s="121"/>
      <c r="AN262" s="122"/>
      <c r="AO262" s="113">
        <f t="shared" si="500"/>
        <v>0</v>
      </c>
      <c r="AP262" s="81">
        <f t="shared" si="501"/>
        <v>0</v>
      </c>
      <c r="AQ262" s="112"/>
      <c r="AR262" s="121"/>
      <c r="AS262" s="122"/>
      <c r="AT262" s="113">
        <f t="shared" si="502"/>
        <v>0</v>
      </c>
      <c r="AU262" s="81">
        <f t="shared" si="503"/>
        <v>0</v>
      </c>
      <c r="AV262" s="112"/>
      <c r="AW262" s="121"/>
      <c r="AX262" s="122"/>
      <c r="AY262" s="113">
        <f t="shared" si="504"/>
        <v>0</v>
      </c>
      <c r="AZ262" s="81">
        <f t="shared" si="505"/>
        <v>0</v>
      </c>
      <c r="BA262" s="78"/>
      <c r="BB262" s="79">
        <f t="shared" si="506"/>
        <v>0</v>
      </c>
      <c r="BC262" s="115">
        <f>IF(BB262&gt;0, BB262, IF(BB262=0, L262))</f>
        <v>1</v>
      </c>
      <c r="BD262" s="81">
        <f>IF(BA262=1, (BC262-L262), IF(BA262=0, BC262))</f>
        <v>1</v>
      </c>
      <c r="BE262" s="122"/>
    </row>
    <row r="263" spans="1:57" s="31" customFormat="1" ht="17.5" customHeight="1" thickBot="1" x14ac:dyDescent="0.4">
      <c r="A263" s="365"/>
      <c r="B263" s="179"/>
      <c r="C263" s="367"/>
      <c r="D263" s="368"/>
      <c r="E263" s="166" t="s">
        <v>258</v>
      </c>
      <c r="F263" s="138" t="s">
        <v>259</v>
      </c>
      <c r="G263" s="138">
        <v>1</v>
      </c>
      <c r="H263" s="53">
        <v>1</v>
      </c>
      <c r="I263" s="53">
        <v>1</v>
      </c>
      <c r="J263" s="369"/>
      <c r="K263" s="370"/>
      <c r="L263" s="180">
        <v>1</v>
      </c>
      <c r="M263" s="371"/>
      <c r="N263" s="371"/>
      <c r="O263" s="151">
        <v>1</v>
      </c>
      <c r="P263" s="120"/>
      <c r="Q263" s="111"/>
      <c r="R263" s="111"/>
      <c r="S263" s="111"/>
      <c r="T263" s="111"/>
      <c r="U263" s="118"/>
      <c r="V263" s="132"/>
      <c r="W263" s="112"/>
      <c r="X263" s="121"/>
      <c r="Y263" s="122"/>
      <c r="Z263" s="113">
        <f t="shared" si="494"/>
        <v>0</v>
      </c>
      <c r="AA263" s="81">
        <f t="shared" si="495"/>
        <v>0</v>
      </c>
      <c r="AB263" s="112"/>
      <c r="AC263" s="121"/>
      <c r="AD263" s="121"/>
      <c r="AE263" s="123">
        <f t="shared" si="496"/>
        <v>0</v>
      </c>
      <c r="AF263" s="81">
        <f t="shared" si="497"/>
        <v>0</v>
      </c>
      <c r="AG263" s="112"/>
      <c r="AH263" s="121"/>
      <c r="AI263" s="122"/>
      <c r="AJ263" s="113">
        <f t="shared" si="498"/>
        <v>0</v>
      </c>
      <c r="AK263" s="81">
        <f t="shared" si="499"/>
        <v>0</v>
      </c>
      <c r="AL263" s="112"/>
      <c r="AM263" s="121"/>
      <c r="AN263" s="122"/>
      <c r="AO263" s="113">
        <f t="shared" si="500"/>
        <v>0</v>
      </c>
      <c r="AP263" s="81">
        <f t="shared" si="501"/>
        <v>0</v>
      </c>
      <c r="AQ263" s="112"/>
      <c r="AR263" s="121"/>
      <c r="AS263" s="122"/>
      <c r="AT263" s="113">
        <f t="shared" si="502"/>
        <v>0</v>
      </c>
      <c r="AU263" s="81">
        <f t="shared" si="503"/>
        <v>0</v>
      </c>
      <c r="AV263" s="112"/>
      <c r="AW263" s="121"/>
      <c r="AX263" s="122"/>
      <c r="AY263" s="113">
        <f t="shared" si="504"/>
        <v>0</v>
      </c>
      <c r="AZ263" s="81">
        <f t="shared" si="505"/>
        <v>0</v>
      </c>
      <c r="BA263" s="78"/>
      <c r="BB263" s="79">
        <f t="shared" si="506"/>
        <v>0</v>
      </c>
      <c r="BC263" s="115">
        <f>IF(BB263&gt;0, BB263, IF(BB263=0, L263))</f>
        <v>1</v>
      </c>
      <c r="BD263" s="81">
        <f>IF(BA263=1, (BC263-L263), IF(BA263=0, BC263))</f>
        <v>1</v>
      </c>
      <c r="BE263" s="122"/>
    </row>
    <row r="264" spans="1:57" s="31" customFormat="1" ht="17.5" customHeight="1" thickBot="1" x14ac:dyDescent="0.4">
      <c r="A264" s="366"/>
      <c r="B264" s="179"/>
      <c r="C264" s="367"/>
      <c r="D264" s="368"/>
      <c r="E264" s="258" t="s">
        <v>106</v>
      </c>
      <c r="F264" s="259"/>
      <c r="G264" s="181"/>
      <c r="H264" s="182">
        <v>3</v>
      </c>
      <c r="I264" s="95">
        <v>3</v>
      </c>
      <c r="J264" s="369"/>
      <c r="K264" s="370"/>
      <c r="L264" s="95">
        <f>SUM(L261:L263)</f>
        <v>3</v>
      </c>
      <c r="M264" s="371"/>
      <c r="N264" s="371"/>
      <c r="O264" s="183"/>
      <c r="P264" s="226"/>
      <c r="Q264" s="68"/>
      <c r="R264" s="68"/>
      <c r="S264" s="68"/>
      <c r="T264" s="68"/>
      <c r="U264" s="209"/>
      <c r="V264" s="227"/>
      <c r="W264" s="219"/>
      <c r="X264" s="220"/>
      <c r="Y264" s="221"/>
      <c r="Z264" s="194"/>
      <c r="AA264" s="194"/>
      <c r="AB264" s="219"/>
      <c r="AC264" s="220"/>
      <c r="AD264" s="220"/>
      <c r="AE264" s="194"/>
      <c r="AF264" s="194"/>
      <c r="AG264" s="219"/>
      <c r="AH264" s="220"/>
      <c r="AI264" s="221"/>
      <c r="AJ264" s="194"/>
      <c r="AK264" s="194"/>
      <c r="AL264" s="219"/>
      <c r="AM264" s="220"/>
      <c r="AN264" s="221"/>
      <c r="AO264" s="194"/>
      <c r="AP264" s="194"/>
      <c r="AQ264" s="219"/>
      <c r="AR264" s="220"/>
      <c r="AS264" s="221"/>
      <c r="AT264" s="194"/>
      <c r="AU264" s="194"/>
      <c r="AV264" s="219"/>
      <c r="AW264" s="220"/>
      <c r="AX264" s="221"/>
      <c r="AY264" s="194"/>
      <c r="AZ264" s="194"/>
      <c r="BA264" s="206"/>
      <c r="BB264" s="196"/>
      <c r="BC264" s="197"/>
      <c r="BD264" s="228">
        <f>SUM(BD261:BD263)</f>
        <v>3</v>
      </c>
      <c r="BE264" s="221"/>
    </row>
    <row r="265" spans="1:57" s="31" customFormat="1" ht="17.5" customHeight="1" x14ac:dyDescent="0.35">
      <c r="A265" s="184"/>
      <c r="B265" s="185"/>
      <c r="C265" s="160"/>
      <c r="D265" s="184"/>
      <c r="E265" s="186"/>
      <c r="F265" s="186"/>
      <c r="G265" s="186"/>
      <c r="H265" s="187"/>
      <c r="I265" s="188" t="s">
        <v>260</v>
      </c>
      <c r="J265" s="189">
        <f>J5+J17+J27+J52+J64+J75+J85+J92+J108+J122+J135+J142+J146+J150+J153+J157+J160+J165+J168+J171+J174+J177+J181+J186+J189+J193+J198+J202+J209+J212+J215+J224+J233+J241+J248+J252+J261+J219+J228</f>
        <v>208.875</v>
      </c>
      <c r="K265" s="160"/>
      <c r="L265" s="160"/>
      <c r="M265" s="160"/>
      <c r="N265" s="160"/>
      <c r="O265" s="149"/>
      <c r="P265" s="25"/>
      <c r="Q265" s="26"/>
      <c r="R265" s="26"/>
      <c r="S265" s="26"/>
      <c r="T265" s="26"/>
      <c r="U265" s="26"/>
      <c r="V265" s="26"/>
      <c r="W265" s="27"/>
      <c r="X265" s="28"/>
      <c r="Y265" s="28"/>
      <c r="Z265" s="29"/>
      <c r="AA265" s="29"/>
      <c r="AB265" s="27"/>
      <c r="AC265" s="28"/>
      <c r="AD265" s="28"/>
      <c r="AE265" s="29"/>
      <c r="AF265" s="29"/>
      <c r="AG265" s="27"/>
      <c r="AH265" s="28"/>
      <c r="AI265" s="28"/>
      <c r="AJ265" s="29"/>
      <c r="AK265" s="29"/>
      <c r="AL265" s="27"/>
      <c r="AM265" s="28"/>
      <c r="AN265" s="28"/>
      <c r="AO265" s="29"/>
      <c r="AP265" s="29"/>
      <c r="AQ265" s="27"/>
      <c r="AR265" s="28"/>
      <c r="AS265" s="28"/>
      <c r="AT265" s="29"/>
      <c r="AU265" s="29"/>
      <c r="AV265" s="27"/>
      <c r="AW265" s="28"/>
      <c r="AX265" s="28"/>
      <c r="AY265" s="29"/>
      <c r="AZ265" s="29"/>
      <c r="BA265" s="29"/>
      <c r="BB265" s="30"/>
      <c r="BC265" s="30"/>
      <c r="BD265" s="30"/>
      <c r="BE265" s="28"/>
    </row>
    <row r="266" spans="1:57" x14ac:dyDescent="0.35">
      <c r="E266" s="15" t="s">
        <v>261</v>
      </c>
      <c r="F266" s="15" t="s">
        <v>262</v>
      </c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U266" s="14"/>
      <c r="AZ266" s="14"/>
      <c r="BE266" s="14"/>
    </row>
    <row r="267" spans="1:57" ht="15.75" customHeight="1" x14ac:dyDescent="0.35">
      <c r="A267" s="360" t="s">
        <v>263</v>
      </c>
      <c r="B267" s="360"/>
      <c r="C267" s="360"/>
      <c r="D267" s="16"/>
      <c r="E267" s="14">
        <f>M5+M27+M52+M75+M92+M135+M146+M153+M160+M165+M168+M171+M177+M181+M186+M193+M202+M209+M212+M215+M224+M233+M252+M261</f>
        <v>90.3125</v>
      </c>
      <c r="F267" s="14">
        <f>N5+N27+N52+N75+N92+N135+N146+N153+N160+N165+N168+N171+N177+N181+N186+N193+N202+N209+N212+N215+N224+N233+N252+N261</f>
        <v>90.3125</v>
      </c>
      <c r="G267" s="17"/>
      <c r="H267" s="17"/>
      <c r="I267" s="17"/>
      <c r="J267" s="17"/>
      <c r="K267" s="17"/>
    </row>
    <row r="268" spans="1:57" ht="15.75" customHeight="1" x14ac:dyDescent="0.35">
      <c r="A268" s="361" t="s">
        <v>264</v>
      </c>
      <c r="B268" s="361"/>
      <c r="C268" s="361"/>
      <c r="D268" s="16"/>
      <c r="E268" s="21">
        <f>L16+L50+L63+L84+L107+L141+L149+L156+L163+L166+L169+L173+L179+L184+L188+L196+L207+L210+L213+L218+L227+L240+L254+L264</f>
        <v>722.5</v>
      </c>
      <c r="F268" s="14">
        <f>BD16+BD50+BD63+BD84+BD107+BD141+BD149+BD156+BD163+BD166+BD169+BD173+BD179+BD184+BD188+BD196+BD207+BD210+BD213+BD218+BD227+BD240+BD254+BD264</f>
        <v>722.5</v>
      </c>
      <c r="G268" s="17"/>
      <c r="H268" s="17"/>
      <c r="I268" s="17"/>
      <c r="J268" s="17"/>
      <c r="K268" s="17"/>
      <c r="L268" s="17"/>
    </row>
    <row r="269" spans="1:57" x14ac:dyDescent="0.35">
      <c r="A269" s="18"/>
      <c r="B269" s="19"/>
      <c r="C269" s="19"/>
      <c r="D269" s="20"/>
      <c r="E269" s="19"/>
    </row>
    <row r="270" spans="1:57" x14ac:dyDescent="0.35">
      <c r="A270" s="18"/>
      <c r="B270" s="19"/>
      <c r="C270" s="19"/>
      <c r="D270" s="20"/>
      <c r="E270" s="15" t="s">
        <v>261</v>
      </c>
      <c r="F270" s="15" t="s">
        <v>262</v>
      </c>
      <c r="K270" s="15"/>
    </row>
    <row r="271" spans="1:57" ht="15.75" customHeight="1" x14ac:dyDescent="0.35">
      <c r="A271" s="360" t="s">
        <v>265</v>
      </c>
      <c r="B271" s="360"/>
      <c r="C271" s="360"/>
      <c r="D271" s="16"/>
      <c r="E271" s="14">
        <f>M17+M27+M64+M75+M108+M150+M157+M168+M174+M189+M202+M209+M219+M228+M241+M261</f>
        <v>60.75</v>
      </c>
      <c r="F271" s="14">
        <f>N17+N27+N64+N75+N108+N150+N157+N168+N174+N189+N202+N209+N219+N228+N241+N261</f>
        <v>60.75</v>
      </c>
    </row>
    <row r="272" spans="1:57" ht="15.75" customHeight="1" x14ac:dyDescent="0.35">
      <c r="A272" s="360" t="s">
        <v>266</v>
      </c>
      <c r="B272" s="360"/>
      <c r="C272" s="360"/>
      <c r="D272" s="16"/>
      <c r="E272" s="21">
        <f>L25+L50+L71+L84+L121+L151+L158+L169+L175+L191+L207+L210+L222+L231+L247+L264</f>
        <v>486</v>
      </c>
      <c r="F272" s="21">
        <f>BD25+BD50+BD71+BD84+BD121+BD151+BD158+BD169+BD175+BD191+BD207+BD210+BD222+BD231+BD247+BD264</f>
        <v>486</v>
      </c>
    </row>
    <row r="273" spans="1:12" x14ac:dyDescent="0.35">
      <c r="A273" s="18"/>
      <c r="B273" s="19"/>
      <c r="C273" s="19"/>
      <c r="D273" s="20"/>
      <c r="E273" s="19"/>
    </row>
    <row r="274" spans="1:12" x14ac:dyDescent="0.35">
      <c r="A274" s="18"/>
      <c r="B274" s="19"/>
      <c r="C274" s="19"/>
      <c r="D274" s="20"/>
      <c r="E274" s="15" t="s">
        <v>261</v>
      </c>
      <c r="F274" s="15" t="s">
        <v>262</v>
      </c>
      <c r="L274" s="1"/>
    </row>
    <row r="275" spans="1:12" ht="15.75" customHeight="1" x14ac:dyDescent="0.35">
      <c r="A275" s="360" t="s">
        <v>267</v>
      </c>
      <c r="B275" s="360"/>
      <c r="C275" s="360"/>
      <c r="D275" s="16"/>
      <c r="E275" s="14">
        <f>M27+M72+M85+M122+M219+M228+M248+M261</f>
        <v>38.9375</v>
      </c>
      <c r="F275" s="14">
        <f>N27+N72+N85+N122+N219+N228+N248+N261</f>
        <v>38.9375</v>
      </c>
    </row>
    <row r="276" spans="1:12" ht="15.75" customHeight="1" x14ac:dyDescent="0.35">
      <c r="A276" s="360" t="s">
        <v>268</v>
      </c>
      <c r="B276" s="360"/>
      <c r="C276" s="360"/>
      <c r="D276" s="16"/>
      <c r="E276" s="21">
        <f>L50+L73+L90+L133+L222+L231+L250+L264</f>
        <v>311.5</v>
      </c>
      <c r="F276" s="21">
        <f>BD50+BD73+BD90+BD133+BD222+BD231+BD250+BD264</f>
        <v>311.5</v>
      </c>
    </row>
    <row r="278" spans="1:12" x14ac:dyDescent="0.35">
      <c r="A278" s="18"/>
      <c r="B278" s="19"/>
      <c r="C278" s="19"/>
      <c r="D278" s="20"/>
      <c r="E278" s="15" t="s">
        <v>261</v>
      </c>
      <c r="F278" s="15" t="s">
        <v>262</v>
      </c>
      <c r="L278" s="1"/>
    </row>
    <row r="279" spans="1:12" ht="15.75" customHeight="1" x14ac:dyDescent="0.35">
      <c r="A279" s="361" t="s">
        <v>269</v>
      </c>
      <c r="B279" s="361"/>
      <c r="C279" s="361"/>
      <c r="D279" s="16"/>
      <c r="E279" s="14">
        <f>M27+M72+M85+M122+M219+M228+M248+M261</f>
        <v>38.9375</v>
      </c>
      <c r="F279" s="14">
        <f>N27+N72+N85+N122+N219+N228+N248+N261</f>
        <v>38.9375</v>
      </c>
    </row>
    <row r="280" spans="1:12" ht="15.75" customHeight="1" x14ac:dyDescent="0.35">
      <c r="A280" s="361" t="s">
        <v>270</v>
      </c>
      <c r="B280" s="361"/>
      <c r="C280" s="361"/>
      <c r="D280" s="16"/>
      <c r="E280" s="21">
        <f>L50+L73+L90+L133+L222+L231+L250+L264</f>
        <v>311.5</v>
      </c>
      <c r="F280" s="21">
        <f>BD50+BD73+BD90+BD133+BD222+BD231+BD250+BD264</f>
        <v>311.5</v>
      </c>
    </row>
  </sheetData>
  <mergeCells count="477">
    <mergeCell ref="O3:BE3"/>
    <mergeCell ref="N256:N259"/>
    <mergeCell ref="E259:F259"/>
    <mergeCell ref="A261:A264"/>
    <mergeCell ref="C261:C264"/>
    <mergeCell ref="D261:D264"/>
    <mergeCell ref="J261:J264"/>
    <mergeCell ref="K261:K264"/>
    <mergeCell ref="M261:M264"/>
    <mergeCell ref="N261:N264"/>
    <mergeCell ref="E264:F264"/>
    <mergeCell ref="G256:G258"/>
    <mergeCell ref="H256:H258"/>
    <mergeCell ref="I256:I258"/>
    <mergeCell ref="J256:J259"/>
    <mergeCell ref="K256:K259"/>
    <mergeCell ref="M256:M259"/>
    <mergeCell ref="A256:A259"/>
    <mergeCell ref="B256:B259"/>
    <mergeCell ref="C256:C259"/>
    <mergeCell ref="D256:D259"/>
    <mergeCell ref="E256:E258"/>
    <mergeCell ref="F256:F258"/>
    <mergeCell ref="K248:K250"/>
    <mergeCell ref="A276:C276"/>
    <mergeCell ref="A279:C279"/>
    <mergeCell ref="A280:C280"/>
    <mergeCell ref="A267:C267"/>
    <mergeCell ref="A268:C268"/>
    <mergeCell ref="A271:C271"/>
    <mergeCell ref="A272:C272"/>
    <mergeCell ref="A275:C275"/>
    <mergeCell ref="J248:J250"/>
    <mergeCell ref="M248:M250"/>
    <mergeCell ref="N248:N250"/>
    <mergeCell ref="E250:F250"/>
    <mergeCell ref="A252:A254"/>
    <mergeCell ref="B252:B254"/>
    <mergeCell ref="C252:C254"/>
    <mergeCell ref="D252:D254"/>
    <mergeCell ref="J252:J254"/>
    <mergeCell ref="A233:A250"/>
    <mergeCell ref="B233:B250"/>
    <mergeCell ref="C233:C250"/>
    <mergeCell ref="D233:D250"/>
    <mergeCell ref="K252:K254"/>
    <mergeCell ref="M252:M254"/>
    <mergeCell ref="N252:N254"/>
    <mergeCell ref="E254:F254"/>
    <mergeCell ref="J241:J247"/>
    <mergeCell ref="K241:K247"/>
    <mergeCell ref="M241:M247"/>
    <mergeCell ref="N241:N247"/>
    <mergeCell ref="E242:E243"/>
    <mergeCell ref="F242:F243"/>
    <mergeCell ref="G242:G243"/>
    <mergeCell ref="H242:H243"/>
    <mergeCell ref="I242:I243"/>
    <mergeCell ref="E247:F247"/>
    <mergeCell ref="N228:N231"/>
    <mergeCell ref="E231:F231"/>
    <mergeCell ref="N233:N240"/>
    <mergeCell ref="E235:E236"/>
    <mergeCell ref="F235:F236"/>
    <mergeCell ref="G235:G236"/>
    <mergeCell ref="H235:H236"/>
    <mergeCell ref="I235:I236"/>
    <mergeCell ref="E240:F240"/>
    <mergeCell ref="G233:G234"/>
    <mergeCell ref="H233:H234"/>
    <mergeCell ref="I233:I234"/>
    <mergeCell ref="J233:J240"/>
    <mergeCell ref="K233:K240"/>
    <mergeCell ref="M233:M240"/>
    <mergeCell ref="E233:E234"/>
    <mergeCell ref="F233:F234"/>
    <mergeCell ref="A224:A231"/>
    <mergeCell ref="B224:B227"/>
    <mergeCell ref="C224:C231"/>
    <mergeCell ref="D224:D227"/>
    <mergeCell ref="J224:J227"/>
    <mergeCell ref="K224:K227"/>
    <mergeCell ref="K215:K218"/>
    <mergeCell ref="M215:M218"/>
    <mergeCell ref="N215:N218"/>
    <mergeCell ref="E218:F218"/>
    <mergeCell ref="B219:B222"/>
    <mergeCell ref="D219:D222"/>
    <mergeCell ref="J219:J222"/>
    <mergeCell ref="K219:K222"/>
    <mergeCell ref="M219:M222"/>
    <mergeCell ref="N219:N222"/>
    <mergeCell ref="M224:M227"/>
    <mergeCell ref="N224:N227"/>
    <mergeCell ref="E227:F227"/>
    <mergeCell ref="B228:B231"/>
    <mergeCell ref="D228:D231"/>
    <mergeCell ref="J228:J231"/>
    <mergeCell ref="K228:K231"/>
    <mergeCell ref="M228:M231"/>
    <mergeCell ref="N209:N210"/>
    <mergeCell ref="E210:F210"/>
    <mergeCell ref="A212:A213"/>
    <mergeCell ref="B212:B213"/>
    <mergeCell ref="C212:C213"/>
    <mergeCell ref="D212:D213"/>
    <mergeCell ref="J212:J213"/>
    <mergeCell ref="K212:K213"/>
    <mergeCell ref="M212:M213"/>
    <mergeCell ref="N212:N213"/>
    <mergeCell ref="A209:A210"/>
    <mergeCell ref="B209:B210"/>
    <mergeCell ref="C209:C210"/>
    <mergeCell ref="D209:D210"/>
    <mergeCell ref="J209:J210"/>
    <mergeCell ref="K209:K210"/>
    <mergeCell ref="M209:M210"/>
    <mergeCell ref="E213:F213"/>
    <mergeCell ref="A215:A222"/>
    <mergeCell ref="B215:B218"/>
    <mergeCell ref="C215:C222"/>
    <mergeCell ref="D215:D218"/>
    <mergeCell ref="J215:J218"/>
    <mergeCell ref="E222:F222"/>
    <mergeCell ref="M186:M188"/>
    <mergeCell ref="N186:N188"/>
    <mergeCell ref="E188:F188"/>
    <mergeCell ref="A201:K201"/>
    <mergeCell ref="A202:A207"/>
    <mergeCell ref="B202:B207"/>
    <mergeCell ref="C202:C207"/>
    <mergeCell ref="D202:D207"/>
    <mergeCell ref="J202:J207"/>
    <mergeCell ref="K202:K207"/>
    <mergeCell ref="M193:M196"/>
    <mergeCell ref="M202:M207"/>
    <mergeCell ref="N202:N207"/>
    <mergeCell ref="E207:F207"/>
    <mergeCell ref="N193:N196"/>
    <mergeCell ref="E196:F196"/>
    <mergeCell ref="A197:K197"/>
    <mergeCell ref="A198:A200"/>
    <mergeCell ref="B198:B200"/>
    <mergeCell ref="C198:C200"/>
    <mergeCell ref="D198:D200"/>
    <mergeCell ref="J198:J200"/>
    <mergeCell ref="K198:K200"/>
    <mergeCell ref="E200:G200"/>
    <mergeCell ref="A193:A196"/>
    <mergeCell ref="B193:B196"/>
    <mergeCell ref="C193:C196"/>
    <mergeCell ref="D193:D196"/>
    <mergeCell ref="J193:J196"/>
    <mergeCell ref="K193:K196"/>
    <mergeCell ref="M189:M191"/>
    <mergeCell ref="N189:N191"/>
    <mergeCell ref="E191:F191"/>
    <mergeCell ref="E189:E190"/>
    <mergeCell ref="F189:F190"/>
    <mergeCell ref="G189:G190"/>
    <mergeCell ref="H189:H190"/>
    <mergeCell ref="I189:I190"/>
    <mergeCell ref="J189:J191"/>
    <mergeCell ref="A186:A191"/>
    <mergeCell ref="B186:B191"/>
    <mergeCell ref="C186:C191"/>
    <mergeCell ref="D186:D191"/>
    <mergeCell ref="E186:E187"/>
    <mergeCell ref="F186:F187"/>
    <mergeCell ref="G186:G187"/>
    <mergeCell ref="H186:H187"/>
    <mergeCell ref="K189:K191"/>
    <mergeCell ref="I186:I187"/>
    <mergeCell ref="J186:J188"/>
    <mergeCell ref="K186:K188"/>
    <mergeCell ref="M177:M179"/>
    <mergeCell ref="N177:N179"/>
    <mergeCell ref="E179:F179"/>
    <mergeCell ref="A181:A184"/>
    <mergeCell ref="B181:B184"/>
    <mergeCell ref="C181:C184"/>
    <mergeCell ref="D181:D184"/>
    <mergeCell ref="J181:J184"/>
    <mergeCell ref="K181:K184"/>
    <mergeCell ref="M181:M184"/>
    <mergeCell ref="A177:A179"/>
    <mergeCell ref="B177:B179"/>
    <mergeCell ref="C177:C179"/>
    <mergeCell ref="D177:D179"/>
    <mergeCell ref="J177:J179"/>
    <mergeCell ref="K177:K179"/>
    <mergeCell ref="N181:N184"/>
    <mergeCell ref="E184:F184"/>
    <mergeCell ref="E173:F173"/>
    <mergeCell ref="J174:J175"/>
    <mergeCell ref="K174:K175"/>
    <mergeCell ref="M174:M175"/>
    <mergeCell ref="N174:N175"/>
    <mergeCell ref="E175:F175"/>
    <mergeCell ref="N168:N169"/>
    <mergeCell ref="E169:F169"/>
    <mergeCell ref="A171:A175"/>
    <mergeCell ref="B171:B175"/>
    <mergeCell ref="C171:C175"/>
    <mergeCell ref="D171:D175"/>
    <mergeCell ref="J171:J173"/>
    <mergeCell ref="K171:K173"/>
    <mergeCell ref="M171:M173"/>
    <mergeCell ref="N171:N173"/>
    <mergeCell ref="M165:M166"/>
    <mergeCell ref="N165:N166"/>
    <mergeCell ref="E166:F166"/>
    <mergeCell ref="A168:A169"/>
    <mergeCell ref="B168:B169"/>
    <mergeCell ref="C168:C169"/>
    <mergeCell ref="D168:D169"/>
    <mergeCell ref="J168:J169"/>
    <mergeCell ref="K168:K169"/>
    <mergeCell ref="M168:M169"/>
    <mergeCell ref="A165:A166"/>
    <mergeCell ref="B165:B166"/>
    <mergeCell ref="C165:C166"/>
    <mergeCell ref="D165:D166"/>
    <mergeCell ref="J165:J166"/>
    <mergeCell ref="K165:K166"/>
    <mergeCell ref="A160:A163"/>
    <mergeCell ref="C160:C163"/>
    <mergeCell ref="J160:J163"/>
    <mergeCell ref="K160:K163"/>
    <mergeCell ref="M160:M163"/>
    <mergeCell ref="N160:N163"/>
    <mergeCell ref="B161:B163"/>
    <mergeCell ref="D161:D163"/>
    <mergeCell ref="E163:F163"/>
    <mergeCell ref="M153:M156"/>
    <mergeCell ref="N153:N156"/>
    <mergeCell ref="E156:F156"/>
    <mergeCell ref="J157:J158"/>
    <mergeCell ref="K157:K158"/>
    <mergeCell ref="M157:M158"/>
    <mergeCell ref="N157:N158"/>
    <mergeCell ref="E158:F158"/>
    <mergeCell ref="A153:A158"/>
    <mergeCell ref="B153:B158"/>
    <mergeCell ref="C153:C158"/>
    <mergeCell ref="D153:D158"/>
    <mergeCell ref="J153:J156"/>
    <mergeCell ref="K153:K156"/>
    <mergeCell ref="M146:M149"/>
    <mergeCell ref="N146:N149"/>
    <mergeCell ref="E149:F149"/>
    <mergeCell ref="J150:J151"/>
    <mergeCell ref="K150:K151"/>
    <mergeCell ref="M150:M151"/>
    <mergeCell ref="N150:N151"/>
    <mergeCell ref="E151:F151"/>
    <mergeCell ref="J142:J144"/>
    <mergeCell ref="K142:K144"/>
    <mergeCell ref="E144:F144"/>
    <mergeCell ref="A146:A151"/>
    <mergeCell ref="B146:B151"/>
    <mergeCell ref="C146:C151"/>
    <mergeCell ref="D146:D151"/>
    <mergeCell ref="J146:J149"/>
    <mergeCell ref="K146:K149"/>
    <mergeCell ref="N135:N141"/>
    <mergeCell ref="E137:E140"/>
    <mergeCell ref="F137:F140"/>
    <mergeCell ref="G137:G140"/>
    <mergeCell ref="H137:H140"/>
    <mergeCell ref="I137:I140"/>
    <mergeCell ref="E141:F141"/>
    <mergeCell ref="G135:G136"/>
    <mergeCell ref="H135:H136"/>
    <mergeCell ref="I135:I136"/>
    <mergeCell ref="J135:J141"/>
    <mergeCell ref="K135:K141"/>
    <mergeCell ref="M135:M141"/>
    <mergeCell ref="A135:A144"/>
    <mergeCell ref="B135:B144"/>
    <mergeCell ref="C135:C144"/>
    <mergeCell ref="D135:D144"/>
    <mergeCell ref="E135:E136"/>
    <mergeCell ref="F135:F136"/>
    <mergeCell ref="K122:K133"/>
    <mergeCell ref="M122:M133"/>
    <mergeCell ref="N122:N133"/>
    <mergeCell ref="E127:E128"/>
    <mergeCell ref="F127:F128"/>
    <mergeCell ref="G127:G128"/>
    <mergeCell ref="H127:H128"/>
    <mergeCell ref="I127:I128"/>
    <mergeCell ref="E133:F133"/>
    <mergeCell ref="E122:E125"/>
    <mergeCell ref="F122:F125"/>
    <mergeCell ref="G122:G125"/>
    <mergeCell ref="H122:H125"/>
    <mergeCell ref="I122:I125"/>
    <mergeCell ref="J122:J133"/>
    <mergeCell ref="G108:G111"/>
    <mergeCell ref="H108:H111"/>
    <mergeCell ref="I108:I111"/>
    <mergeCell ref="J108:J121"/>
    <mergeCell ref="K108:K121"/>
    <mergeCell ref="M108:M121"/>
    <mergeCell ref="N108:N121"/>
    <mergeCell ref="E115:E116"/>
    <mergeCell ref="F115:F116"/>
    <mergeCell ref="G115:G116"/>
    <mergeCell ref="H115:H116"/>
    <mergeCell ref="I115:I116"/>
    <mergeCell ref="E121:F121"/>
    <mergeCell ref="M85:M90"/>
    <mergeCell ref="N85:N90"/>
    <mergeCell ref="E90:F90"/>
    <mergeCell ref="A92:A133"/>
    <mergeCell ref="B92:B133"/>
    <mergeCell ref="C92:C133"/>
    <mergeCell ref="D92:D133"/>
    <mergeCell ref="J92:J107"/>
    <mergeCell ref="K92:K107"/>
    <mergeCell ref="M92:M107"/>
    <mergeCell ref="N92:N107"/>
    <mergeCell ref="E94:E96"/>
    <mergeCell ref="F94:F96"/>
    <mergeCell ref="G94:G96"/>
    <mergeCell ref="H94:H96"/>
    <mergeCell ref="I94:I96"/>
    <mergeCell ref="E100:E101"/>
    <mergeCell ref="F100:F101"/>
    <mergeCell ref="G100:G101"/>
    <mergeCell ref="H100:H101"/>
    <mergeCell ref="I100:I101"/>
    <mergeCell ref="E107:F107"/>
    <mergeCell ref="E108:E111"/>
    <mergeCell ref="F108:F111"/>
    <mergeCell ref="F75:F77"/>
    <mergeCell ref="G75:G77"/>
    <mergeCell ref="H75:H77"/>
    <mergeCell ref="I75:I77"/>
    <mergeCell ref="J75:J84"/>
    <mergeCell ref="K75:K84"/>
    <mergeCell ref="H80:H81"/>
    <mergeCell ref="E84:F84"/>
    <mergeCell ref="J85:J90"/>
    <mergeCell ref="K85:K90"/>
    <mergeCell ref="E83:F83"/>
    <mergeCell ref="E89:F89"/>
    <mergeCell ref="J72:J73"/>
    <mergeCell ref="K72:K73"/>
    <mergeCell ref="M72:M73"/>
    <mergeCell ref="N72:N73"/>
    <mergeCell ref="E73:F73"/>
    <mergeCell ref="A75:A90"/>
    <mergeCell ref="B75:B90"/>
    <mergeCell ref="C75:C90"/>
    <mergeCell ref="D75:D90"/>
    <mergeCell ref="E75:E77"/>
    <mergeCell ref="A52:A73"/>
    <mergeCell ref="B52:B73"/>
    <mergeCell ref="C52:C73"/>
    <mergeCell ref="D52:D73"/>
    <mergeCell ref="M75:M84"/>
    <mergeCell ref="N75:N84"/>
    <mergeCell ref="E78:E79"/>
    <mergeCell ref="F78:F79"/>
    <mergeCell ref="G78:G79"/>
    <mergeCell ref="H78:H79"/>
    <mergeCell ref="I78:I79"/>
    <mergeCell ref="E80:E81"/>
    <mergeCell ref="F80:F81"/>
    <mergeCell ref="G80:G81"/>
    <mergeCell ref="J64:J71"/>
    <mergeCell ref="K64:K71"/>
    <mergeCell ref="M64:M71"/>
    <mergeCell ref="N64:N71"/>
    <mergeCell ref="E66:E67"/>
    <mergeCell ref="F66:F67"/>
    <mergeCell ref="G66:G67"/>
    <mergeCell ref="H66:H67"/>
    <mergeCell ref="I66:I67"/>
    <mergeCell ref="E71:F71"/>
    <mergeCell ref="N52:N63"/>
    <mergeCell ref="E59:E60"/>
    <mergeCell ref="F59:F60"/>
    <mergeCell ref="G59:G60"/>
    <mergeCell ref="H59:H60"/>
    <mergeCell ref="I59:I60"/>
    <mergeCell ref="E63:F63"/>
    <mergeCell ref="G52:G54"/>
    <mergeCell ref="H52:H54"/>
    <mergeCell ref="I52:I54"/>
    <mergeCell ref="J52:J63"/>
    <mergeCell ref="K52:K63"/>
    <mergeCell ref="M52:M63"/>
    <mergeCell ref="E52:E54"/>
    <mergeCell ref="F52:F54"/>
    <mergeCell ref="N27:N50"/>
    <mergeCell ref="E29:E30"/>
    <mergeCell ref="F29:F30"/>
    <mergeCell ref="G29:G30"/>
    <mergeCell ref="H29:H30"/>
    <mergeCell ref="I29:I30"/>
    <mergeCell ref="E32:E34"/>
    <mergeCell ref="F32:F34"/>
    <mergeCell ref="G32:G34"/>
    <mergeCell ref="H32:H34"/>
    <mergeCell ref="G27:G28"/>
    <mergeCell ref="H27:H28"/>
    <mergeCell ref="I27:I28"/>
    <mergeCell ref="J27:J50"/>
    <mergeCell ref="K27:K50"/>
    <mergeCell ref="M27:M50"/>
    <mergeCell ref="I32:I34"/>
    <mergeCell ref="G36:G40"/>
    <mergeCell ref="H36:H40"/>
    <mergeCell ref="I36:I40"/>
    <mergeCell ref="E45:E49"/>
    <mergeCell ref="F45:F49"/>
    <mergeCell ref="G45:G49"/>
    <mergeCell ref="H45:H49"/>
    <mergeCell ref="I45:I49"/>
    <mergeCell ref="E50:F50"/>
    <mergeCell ref="G41:G42"/>
    <mergeCell ref="H41:H42"/>
    <mergeCell ref="I41:I42"/>
    <mergeCell ref="E43:E44"/>
    <mergeCell ref="F43:F44"/>
    <mergeCell ref="G43:G44"/>
    <mergeCell ref="H43:H44"/>
    <mergeCell ref="I43:I44"/>
    <mergeCell ref="A27:A50"/>
    <mergeCell ref="B27:B50"/>
    <mergeCell ref="C27:C50"/>
    <mergeCell ref="D27:D50"/>
    <mergeCell ref="E27:E28"/>
    <mergeCell ref="F27:F28"/>
    <mergeCell ref="E36:E40"/>
    <mergeCell ref="F36:F40"/>
    <mergeCell ref="E41:E42"/>
    <mergeCell ref="F41:F42"/>
    <mergeCell ref="I23:I24"/>
    <mergeCell ref="E25:F25"/>
    <mergeCell ref="E17:E22"/>
    <mergeCell ref="F17:F22"/>
    <mergeCell ref="G17:G22"/>
    <mergeCell ref="H17:H22"/>
    <mergeCell ref="I17:I22"/>
    <mergeCell ref="K5:K16"/>
    <mergeCell ref="J17:J25"/>
    <mergeCell ref="E23:E24"/>
    <mergeCell ref="F23:F24"/>
    <mergeCell ref="G23:G24"/>
    <mergeCell ref="M5:M16"/>
    <mergeCell ref="N5:N16"/>
    <mergeCell ref="E2:K2"/>
    <mergeCell ref="A3:N3"/>
    <mergeCell ref="A5:A25"/>
    <mergeCell ref="B5:B25"/>
    <mergeCell ref="C5:C25"/>
    <mergeCell ref="D5:D25"/>
    <mergeCell ref="E5:E12"/>
    <mergeCell ref="F5:F12"/>
    <mergeCell ref="G5:G12"/>
    <mergeCell ref="E13:E15"/>
    <mergeCell ref="F13:F15"/>
    <mergeCell ref="G13:G15"/>
    <mergeCell ref="H13:H15"/>
    <mergeCell ref="I13:I15"/>
    <mergeCell ref="E16:F16"/>
    <mergeCell ref="H5:H12"/>
    <mergeCell ref="I5:I12"/>
    <mergeCell ref="J5:J16"/>
    <mergeCell ref="K17:K25"/>
    <mergeCell ref="M17:M25"/>
    <mergeCell ref="N17:N25"/>
    <mergeCell ref="H23:H24"/>
  </mergeCells>
  <conditionalFormatting sqref="C1:C2 C4:C25 C27:C50 C52:C54 C75:C90 C92:C133 C135:C144 C146:C151 C153:C158 C160 C165:C166 C168:C169 C171:C175 C177:C179 C181:C184 C186:C191 C193:C196 C198:C200 C202:C207 C209:C210 C212:C213 C215 C224 C233:C250 C252:C254 C256:C259 C261 C265:C266 C269:C270 C273:C274 C277:C278 C281:C1048576">
    <cfRule type="cellIs" dxfId="3" priority="15" operator="equal">
      <formula>"Yes"</formula>
    </cfRule>
    <cfRule type="cellIs" dxfId="2" priority="16" operator="equal">
      <formula>"No"</formula>
    </cfRule>
  </conditionalFormatting>
  <hyperlinks>
    <hyperlink ref="C256" r:id="rId1" xr:uid="{68B98E6F-6F7B-4C72-B6EE-83D7A4D129A0}"/>
  </hyperlinks>
  <pageMargins left="0.7" right="0.7" top="0.75" bottom="0.75" header="0.3" footer="0.3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4CEBE3-8B69-4B77-B70A-23001879186C}">
          <x14:formula1>
            <xm:f>#REF!</xm:f>
          </x14:formula1>
          <xm:sqref>AB267:AB1048576 AG267:AG1048576 AL267:AL1048576 AQ4:AQ1048576 AL4:AL265 AG4:AG265 AB4:AB265 W4:W265 P4:P1048576 W267:W1048576 P1:P2 W1:W2 AB1:AB2 AG1:AG2 AL1:AL2 AQ1:AQ2 AV1:AV2 AV4:AV1048576</xm:sqref>
        </x14:dataValidation>
        <x14:dataValidation type="list" allowBlank="1" showInputMessage="1" showErrorMessage="1" xr:uid="{B8060334-0F1E-4F6C-B645-1B8D4EBC5A32}">
          <x14:formula1>
            <xm:f>'WorkShift List'!$A:$A</xm:f>
          </x14:formula1>
          <xm:sqref>AH267:AI1048576 AC267:AD1048576 X267:Y1048576 AR4:AS1048576 AW4:AX1048576 AW1:AX2 AR1:AS2 AC1:AD2 AH1:AI2 AM1:AN2 X1:Y2 X4:Y265 AC4:AD265 AH4:AI265 AM4:AN265 AM267:AN1048576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21E2-9D43-4C28-90F7-AE949D80A9F1}">
  <dimension ref="A1:A97"/>
  <sheetViews>
    <sheetView workbookViewId="0">
      <selection sqref="A1:A1048576"/>
    </sheetView>
  </sheetViews>
  <sheetFormatPr defaultRowHeight="14.5" x14ac:dyDescent="0.35"/>
  <cols>
    <col min="1" max="1" width="9.1796875" style="11"/>
  </cols>
  <sheetData>
    <row r="1" spans="1:1" x14ac:dyDescent="0.35">
      <c r="A1" s="11" t="s">
        <v>271</v>
      </c>
    </row>
    <row r="2" spans="1:1" x14ac:dyDescent="0.35">
      <c r="A2" s="11" t="s">
        <v>272</v>
      </c>
    </row>
    <row r="3" spans="1:1" x14ac:dyDescent="0.35">
      <c r="A3" s="11" t="s">
        <v>273</v>
      </c>
    </row>
    <row r="4" spans="1:1" x14ac:dyDescent="0.35">
      <c r="A4" s="11" t="s">
        <v>274</v>
      </c>
    </row>
    <row r="5" spans="1:1" x14ac:dyDescent="0.35">
      <c r="A5" s="11" t="s">
        <v>275</v>
      </c>
    </row>
    <row r="6" spans="1:1" x14ac:dyDescent="0.35">
      <c r="A6" s="11" t="s">
        <v>276</v>
      </c>
    </row>
    <row r="7" spans="1:1" x14ac:dyDescent="0.35">
      <c r="A7" s="11" t="s">
        <v>277</v>
      </c>
    </row>
    <row r="8" spans="1:1" x14ac:dyDescent="0.35">
      <c r="A8" s="11" t="s">
        <v>278</v>
      </c>
    </row>
    <row r="9" spans="1:1" x14ac:dyDescent="0.35">
      <c r="A9" s="11" t="s">
        <v>279</v>
      </c>
    </row>
    <row r="10" spans="1:1" x14ac:dyDescent="0.35">
      <c r="A10" s="11" t="s">
        <v>280</v>
      </c>
    </row>
    <row r="11" spans="1:1" x14ac:dyDescent="0.35">
      <c r="A11" s="11" t="s">
        <v>281</v>
      </c>
    </row>
    <row r="12" spans="1:1" x14ac:dyDescent="0.35">
      <c r="A12" s="11" t="s">
        <v>282</v>
      </c>
    </row>
    <row r="13" spans="1:1" x14ac:dyDescent="0.35">
      <c r="A13" s="11" t="s">
        <v>283</v>
      </c>
    </row>
    <row r="14" spans="1:1" x14ac:dyDescent="0.35">
      <c r="A14" s="11" t="s">
        <v>284</v>
      </c>
    </row>
    <row r="15" spans="1:1" x14ac:dyDescent="0.35">
      <c r="A15" s="11" t="s">
        <v>285</v>
      </c>
    </row>
    <row r="16" spans="1:1" x14ac:dyDescent="0.35">
      <c r="A16" s="11" t="s">
        <v>286</v>
      </c>
    </row>
    <row r="17" spans="1:1" x14ac:dyDescent="0.35">
      <c r="A17" s="11" t="s">
        <v>287</v>
      </c>
    </row>
    <row r="18" spans="1:1" x14ac:dyDescent="0.35">
      <c r="A18" s="11" t="s">
        <v>288</v>
      </c>
    </row>
    <row r="19" spans="1:1" x14ac:dyDescent="0.35">
      <c r="A19" s="11" t="s">
        <v>289</v>
      </c>
    </row>
    <row r="20" spans="1:1" x14ac:dyDescent="0.35">
      <c r="A20" s="11" t="s">
        <v>290</v>
      </c>
    </row>
    <row r="21" spans="1:1" x14ac:dyDescent="0.35">
      <c r="A21" s="11" t="s">
        <v>291</v>
      </c>
    </row>
    <row r="22" spans="1:1" x14ac:dyDescent="0.35">
      <c r="A22" s="11" t="s">
        <v>292</v>
      </c>
    </row>
    <row r="23" spans="1:1" x14ac:dyDescent="0.35">
      <c r="A23" s="11" t="s">
        <v>293</v>
      </c>
    </row>
    <row r="24" spans="1:1" x14ac:dyDescent="0.35">
      <c r="A24" s="11" t="s">
        <v>294</v>
      </c>
    </row>
    <row r="25" spans="1:1" x14ac:dyDescent="0.35">
      <c r="A25" s="11" t="s">
        <v>295</v>
      </c>
    </row>
    <row r="26" spans="1:1" x14ac:dyDescent="0.35">
      <c r="A26" s="11" t="s">
        <v>296</v>
      </c>
    </row>
    <row r="27" spans="1:1" x14ac:dyDescent="0.35">
      <c r="A27" s="11" t="s">
        <v>297</v>
      </c>
    </row>
    <row r="28" spans="1:1" x14ac:dyDescent="0.35">
      <c r="A28" s="11" t="s">
        <v>298</v>
      </c>
    </row>
    <row r="29" spans="1:1" x14ac:dyDescent="0.35">
      <c r="A29" s="11" t="s">
        <v>299</v>
      </c>
    </row>
    <row r="30" spans="1:1" x14ac:dyDescent="0.35">
      <c r="A30" s="11" t="s">
        <v>300</v>
      </c>
    </row>
    <row r="31" spans="1:1" x14ac:dyDescent="0.35">
      <c r="A31" s="11" t="s">
        <v>301</v>
      </c>
    </row>
    <row r="32" spans="1:1" x14ac:dyDescent="0.35">
      <c r="A32" s="11" t="s">
        <v>302</v>
      </c>
    </row>
    <row r="33" spans="1:1" x14ac:dyDescent="0.35">
      <c r="A33" s="11" t="s">
        <v>303</v>
      </c>
    </row>
    <row r="34" spans="1:1" x14ac:dyDescent="0.35">
      <c r="A34" s="11" t="s">
        <v>304</v>
      </c>
    </row>
    <row r="35" spans="1:1" x14ac:dyDescent="0.35">
      <c r="A35" s="11" t="s">
        <v>305</v>
      </c>
    </row>
    <row r="36" spans="1:1" x14ac:dyDescent="0.35">
      <c r="A36" s="11" t="s">
        <v>306</v>
      </c>
    </row>
    <row r="37" spans="1:1" x14ac:dyDescent="0.35">
      <c r="A37" s="11" t="s">
        <v>307</v>
      </c>
    </row>
    <row r="38" spans="1:1" x14ac:dyDescent="0.35">
      <c r="A38" s="11" t="s">
        <v>308</v>
      </c>
    </row>
    <row r="39" spans="1:1" x14ac:dyDescent="0.35">
      <c r="A39" s="11" t="s">
        <v>309</v>
      </c>
    </row>
    <row r="40" spans="1:1" x14ac:dyDescent="0.35">
      <c r="A40" s="11" t="s">
        <v>310</v>
      </c>
    </row>
    <row r="41" spans="1:1" x14ac:dyDescent="0.35">
      <c r="A41" s="11" t="s">
        <v>311</v>
      </c>
    </row>
    <row r="42" spans="1:1" x14ac:dyDescent="0.35">
      <c r="A42" s="11" t="s">
        <v>312</v>
      </c>
    </row>
    <row r="43" spans="1:1" x14ac:dyDescent="0.35">
      <c r="A43" s="11" t="s">
        <v>313</v>
      </c>
    </row>
    <row r="44" spans="1:1" x14ac:dyDescent="0.35">
      <c r="A44" s="11" t="s">
        <v>314</v>
      </c>
    </row>
    <row r="45" spans="1:1" x14ac:dyDescent="0.35">
      <c r="A45" s="11" t="s">
        <v>315</v>
      </c>
    </row>
    <row r="46" spans="1:1" x14ac:dyDescent="0.35">
      <c r="A46" s="11" t="s">
        <v>316</v>
      </c>
    </row>
    <row r="47" spans="1:1" x14ac:dyDescent="0.35">
      <c r="A47" s="11" t="s">
        <v>317</v>
      </c>
    </row>
    <row r="48" spans="1:1" x14ac:dyDescent="0.35">
      <c r="A48" s="11" t="s">
        <v>318</v>
      </c>
    </row>
    <row r="49" spans="1:1" x14ac:dyDescent="0.35">
      <c r="A49" s="11" t="s">
        <v>319</v>
      </c>
    </row>
    <row r="50" spans="1:1" x14ac:dyDescent="0.35">
      <c r="A50" s="11" t="s">
        <v>320</v>
      </c>
    </row>
    <row r="51" spans="1:1" x14ac:dyDescent="0.35">
      <c r="A51" s="11" t="s">
        <v>321</v>
      </c>
    </row>
    <row r="52" spans="1:1" x14ac:dyDescent="0.35">
      <c r="A52" s="11" t="s">
        <v>322</v>
      </c>
    </row>
    <row r="53" spans="1:1" x14ac:dyDescent="0.35">
      <c r="A53" s="11" t="s">
        <v>323</v>
      </c>
    </row>
    <row r="54" spans="1:1" x14ac:dyDescent="0.35">
      <c r="A54" s="11" t="s">
        <v>324</v>
      </c>
    </row>
    <row r="55" spans="1:1" x14ac:dyDescent="0.35">
      <c r="A55" s="11" t="s">
        <v>325</v>
      </c>
    </row>
    <row r="56" spans="1:1" x14ac:dyDescent="0.35">
      <c r="A56" s="11" t="s">
        <v>326</v>
      </c>
    </row>
    <row r="57" spans="1:1" x14ac:dyDescent="0.35">
      <c r="A57" s="11" t="s">
        <v>327</v>
      </c>
    </row>
    <row r="58" spans="1:1" x14ac:dyDescent="0.35">
      <c r="A58" s="11" t="s">
        <v>328</v>
      </c>
    </row>
    <row r="59" spans="1:1" x14ac:dyDescent="0.35">
      <c r="A59" s="11" t="s">
        <v>329</v>
      </c>
    </row>
    <row r="60" spans="1:1" x14ac:dyDescent="0.35">
      <c r="A60" s="11" t="s">
        <v>330</v>
      </c>
    </row>
    <row r="61" spans="1:1" x14ac:dyDescent="0.35">
      <c r="A61" s="11" t="s">
        <v>331</v>
      </c>
    </row>
    <row r="62" spans="1:1" x14ac:dyDescent="0.35">
      <c r="A62" s="11" t="s">
        <v>332</v>
      </c>
    </row>
    <row r="63" spans="1:1" x14ac:dyDescent="0.35">
      <c r="A63" s="11" t="s">
        <v>333</v>
      </c>
    </row>
    <row r="64" spans="1:1" x14ac:dyDescent="0.35">
      <c r="A64" s="11" t="s">
        <v>334</v>
      </c>
    </row>
    <row r="65" spans="1:1" x14ac:dyDescent="0.35">
      <c r="A65" s="11" t="s">
        <v>335</v>
      </c>
    </row>
    <row r="66" spans="1:1" x14ac:dyDescent="0.35">
      <c r="A66" s="11" t="s">
        <v>336</v>
      </c>
    </row>
    <row r="67" spans="1:1" x14ac:dyDescent="0.35">
      <c r="A67" s="11" t="s">
        <v>337</v>
      </c>
    </row>
    <row r="68" spans="1:1" x14ac:dyDescent="0.35">
      <c r="A68" s="11" t="s">
        <v>338</v>
      </c>
    </row>
    <row r="69" spans="1:1" x14ac:dyDescent="0.35">
      <c r="A69" s="11" t="s">
        <v>339</v>
      </c>
    </row>
    <row r="70" spans="1:1" x14ac:dyDescent="0.35">
      <c r="A70" s="11" t="s">
        <v>340</v>
      </c>
    </row>
    <row r="71" spans="1:1" x14ac:dyDescent="0.35">
      <c r="A71" s="11" t="s">
        <v>341</v>
      </c>
    </row>
    <row r="72" spans="1:1" x14ac:dyDescent="0.35">
      <c r="A72" s="11" t="s">
        <v>342</v>
      </c>
    </row>
    <row r="73" spans="1:1" x14ac:dyDescent="0.35">
      <c r="A73" s="11" t="s">
        <v>343</v>
      </c>
    </row>
    <row r="74" spans="1:1" x14ac:dyDescent="0.35">
      <c r="A74" s="11" t="s">
        <v>344</v>
      </c>
    </row>
    <row r="75" spans="1:1" x14ac:dyDescent="0.35">
      <c r="A75" s="11" t="s">
        <v>345</v>
      </c>
    </row>
    <row r="76" spans="1:1" x14ac:dyDescent="0.35">
      <c r="A76" s="11" t="s">
        <v>346</v>
      </c>
    </row>
    <row r="77" spans="1:1" x14ac:dyDescent="0.35">
      <c r="A77" s="11" t="s">
        <v>347</v>
      </c>
    </row>
    <row r="78" spans="1:1" x14ac:dyDescent="0.35">
      <c r="A78" s="11" t="s">
        <v>348</v>
      </c>
    </row>
    <row r="79" spans="1:1" x14ac:dyDescent="0.35">
      <c r="A79" s="11" t="s">
        <v>349</v>
      </c>
    </row>
    <row r="80" spans="1:1" x14ac:dyDescent="0.35">
      <c r="A80" s="11" t="s">
        <v>350</v>
      </c>
    </row>
    <row r="81" spans="1:1" x14ac:dyDescent="0.35">
      <c r="A81" s="11" t="s">
        <v>351</v>
      </c>
    </row>
    <row r="82" spans="1:1" x14ac:dyDescent="0.35">
      <c r="A82" s="11" t="s">
        <v>352</v>
      </c>
    </row>
    <row r="83" spans="1:1" x14ac:dyDescent="0.35">
      <c r="A83" s="11" t="s">
        <v>353</v>
      </c>
    </row>
    <row r="84" spans="1:1" x14ac:dyDescent="0.35">
      <c r="A84" s="11" t="s">
        <v>354</v>
      </c>
    </row>
    <row r="85" spans="1:1" x14ac:dyDescent="0.35">
      <c r="A85" s="11" t="s">
        <v>355</v>
      </c>
    </row>
    <row r="86" spans="1:1" x14ac:dyDescent="0.35">
      <c r="A86" s="11" t="s">
        <v>356</v>
      </c>
    </row>
    <row r="87" spans="1:1" x14ac:dyDescent="0.35">
      <c r="A87" s="11" t="s">
        <v>357</v>
      </c>
    </row>
    <row r="88" spans="1:1" x14ac:dyDescent="0.35">
      <c r="A88" s="11" t="s">
        <v>358</v>
      </c>
    </row>
    <row r="89" spans="1:1" x14ac:dyDescent="0.35">
      <c r="A89" s="11" t="s">
        <v>359</v>
      </c>
    </row>
    <row r="90" spans="1:1" x14ac:dyDescent="0.35">
      <c r="A90" s="11" t="s">
        <v>360</v>
      </c>
    </row>
    <row r="91" spans="1:1" x14ac:dyDescent="0.35">
      <c r="A91" s="11" t="s">
        <v>361</v>
      </c>
    </row>
    <row r="92" spans="1:1" x14ac:dyDescent="0.35">
      <c r="A92" s="11" t="s">
        <v>362</v>
      </c>
    </row>
    <row r="93" spans="1:1" x14ac:dyDescent="0.35">
      <c r="A93" s="11" t="s">
        <v>363</v>
      </c>
    </row>
    <row r="94" spans="1:1" x14ac:dyDescent="0.35">
      <c r="A94" s="11" t="s">
        <v>364</v>
      </c>
    </row>
    <row r="95" spans="1:1" x14ac:dyDescent="0.35">
      <c r="A95" s="11" t="s">
        <v>365</v>
      </c>
    </row>
    <row r="96" spans="1:1" x14ac:dyDescent="0.35">
      <c r="A96" s="11" t="s">
        <v>366</v>
      </c>
    </row>
    <row r="97" spans="1:1" x14ac:dyDescent="0.35">
      <c r="A97" s="11" t="s">
        <v>367</v>
      </c>
    </row>
  </sheetData>
  <dataValidations count="1">
    <dataValidation type="list" allowBlank="1" showInputMessage="1" showErrorMessage="1" sqref="A1:A97" xr:uid="{50D739AE-DF1C-4966-B1AA-ED550727366B}">
      <formula1>$A$1:$A$97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58A9-72DC-4EBC-B983-BF432DEA09CB}">
  <dimension ref="A1:BD237"/>
  <sheetViews>
    <sheetView tabSelected="1" topLeftCell="A3" zoomScale="70" zoomScaleNormal="70" workbookViewId="0">
      <pane xSplit="4" ySplit="1" topLeftCell="E4" activePane="bottomRight" state="frozen"/>
      <selection pane="topRight" activeCell="AD15" sqref="AD15"/>
      <selection pane="bottomLeft" activeCell="AD15" sqref="AD15"/>
      <selection pane="bottomRight" activeCell="G8" sqref="G8"/>
    </sheetView>
  </sheetViews>
  <sheetFormatPr defaultColWidth="9.1796875" defaultRowHeight="15.5" x14ac:dyDescent="0.35"/>
  <cols>
    <col min="1" max="1" width="34.453125" style="5" customWidth="1"/>
    <col min="2" max="2" width="19.81640625" style="2" customWidth="1"/>
    <col min="3" max="3" width="18.1796875" style="3" customWidth="1"/>
    <col min="4" max="4" width="9.7265625" style="3" customWidth="1"/>
    <col min="5" max="16384" width="9.1796875" style="235"/>
  </cols>
  <sheetData>
    <row r="1" spans="1:4" s="234" customFormat="1" hidden="1" x14ac:dyDescent="0.35">
      <c r="A1" s="22"/>
      <c r="B1" s="23"/>
      <c r="C1" s="23"/>
      <c r="D1" s="23"/>
    </row>
    <row r="2" spans="1:4" s="234" customFormat="1" hidden="1" x14ac:dyDescent="0.35">
      <c r="A2" s="32"/>
      <c r="B2" s="238" t="s">
        <v>0</v>
      </c>
      <c r="C2" s="238"/>
      <c r="D2" s="238"/>
    </row>
    <row r="3" spans="1:4" s="234" customFormat="1" ht="17.5" customHeight="1" x14ac:dyDescent="0.35">
      <c r="A3" s="245" t="s">
        <v>37</v>
      </c>
      <c r="B3" s="246" t="s">
        <v>39</v>
      </c>
      <c r="C3" s="246" t="s">
        <v>40</v>
      </c>
      <c r="D3" s="249">
        <v>8</v>
      </c>
    </row>
    <row r="4" spans="1:4" s="234" customFormat="1" ht="17.5" customHeight="1" x14ac:dyDescent="0.35">
      <c r="A4" s="245"/>
      <c r="B4" s="247"/>
      <c r="C4" s="247"/>
      <c r="D4" s="250"/>
    </row>
    <row r="5" spans="1:4" s="234" customFormat="1" ht="17.5" customHeight="1" x14ac:dyDescent="0.35">
      <c r="A5" s="245"/>
      <c r="B5" s="247"/>
      <c r="C5" s="247"/>
      <c r="D5" s="250"/>
    </row>
    <row r="6" spans="1:4" s="234" customFormat="1" ht="17.5" customHeight="1" x14ac:dyDescent="0.35">
      <c r="A6" s="245"/>
      <c r="B6" s="247"/>
      <c r="C6" s="247"/>
      <c r="D6" s="250"/>
    </row>
    <row r="7" spans="1:4" s="234" customFormat="1" ht="17.5" customHeight="1" x14ac:dyDescent="0.35">
      <c r="A7" s="245"/>
      <c r="B7" s="247"/>
      <c r="C7" s="247"/>
      <c r="D7" s="250"/>
    </row>
    <row r="8" spans="1:4" s="234" customFormat="1" ht="17.5" customHeight="1" x14ac:dyDescent="0.35">
      <c r="A8" s="245"/>
      <c r="B8" s="247"/>
      <c r="C8" s="247"/>
      <c r="D8" s="250"/>
    </row>
    <row r="9" spans="1:4" s="234" customFormat="1" ht="17.5" customHeight="1" x14ac:dyDescent="0.35">
      <c r="A9" s="245"/>
      <c r="B9" s="247"/>
      <c r="C9" s="247"/>
      <c r="D9" s="250"/>
    </row>
    <row r="10" spans="1:4" s="234" customFormat="1" ht="17.5" customHeight="1" x14ac:dyDescent="0.35">
      <c r="A10" s="245"/>
      <c r="B10" s="248"/>
      <c r="C10" s="248"/>
      <c r="D10" s="251"/>
    </row>
    <row r="11" spans="1:4" s="234" customFormat="1" ht="17.5" customHeight="1" x14ac:dyDescent="0.35">
      <c r="A11" s="245"/>
      <c r="B11" s="252" t="s">
        <v>52</v>
      </c>
      <c r="C11" s="254" t="s">
        <v>53</v>
      </c>
      <c r="D11" s="249">
        <v>3</v>
      </c>
    </row>
    <row r="12" spans="1:4" s="234" customFormat="1" ht="17.5" customHeight="1" x14ac:dyDescent="0.35">
      <c r="A12" s="245"/>
      <c r="B12" s="253"/>
      <c r="C12" s="255"/>
      <c r="D12" s="250"/>
    </row>
    <row r="13" spans="1:4" s="234" customFormat="1" ht="17.5" customHeight="1" x14ac:dyDescent="0.35">
      <c r="A13" s="245"/>
      <c r="B13" s="253"/>
      <c r="C13" s="255"/>
      <c r="D13" s="250"/>
    </row>
    <row r="14" spans="1:4" s="234" customFormat="1" ht="17.5" hidden="1" customHeight="1" x14ac:dyDescent="0.35">
      <c r="A14" s="245"/>
      <c r="B14" s="246" t="s">
        <v>39</v>
      </c>
      <c r="C14" s="246" t="s">
        <v>40</v>
      </c>
      <c r="D14" s="249">
        <v>6</v>
      </c>
    </row>
    <row r="15" spans="1:4" s="234" customFormat="1" ht="17.5" hidden="1" customHeight="1" x14ac:dyDescent="0.35">
      <c r="A15" s="245"/>
      <c r="B15" s="247"/>
      <c r="C15" s="247"/>
      <c r="D15" s="250"/>
    </row>
    <row r="16" spans="1:4" s="234" customFormat="1" ht="17.5" hidden="1" customHeight="1" x14ac:dyDescent="0.35">
      <c r="A16" s="245"/>
      <c r="B16" s="247"/>
      <c r="C16" s="247"/>
      <c r="D16" s="250"/>
    </row>
    <row r="17" spans="1:4" s="234" customFormat="1" ht="17.5" hidden="1" customHeight="1" x14ac:dyDescent="0.35">
      <c r="A17" s="245"/>
      <c r="B17" s="247"/>
      <c r="C17" s="247"/>
      <c r="D17" s="250"/>
    </row>
    <row r="18" spans="1:4" s="234" customFormat="1" ht="17.5" hidden="1" customHeight="1" x14ac:dyDescent="0.35">
      <c r="A18" s="245"/>
      <c r="B18" s="247"/>
      <c r="C18" s="247"/>
      <c r="D18" s="250"/>
    </row>
    <row r="19" spans="1:4" s="234" customFormat="1" ht="17.5" hidden="1" customHeight="1" x14ac:dyDescent="0.35">
      <c r="A19" s="245"/>
      <c r="B19" s="248"/>
      <c r="C19" s="248"/>
      <c r="D19" s="251"/>
    </row>
    <row r="20" spans="1:4" s="234" customFormat="1" ht="17.5" hidden="1" customHeight="1" x14ac:dyDescent="0.35">
      <c r="A20" s="245"/>
      <c r="B20" s="246" t="s">
        <v>52</v>
      </c>
      <c r="C20" s="246" t="s">
        <v>58</v>
      </c>
      <c r="D20" s="249">
        <v>2</v>
      </c>
    </row>
    <row r="21" spans="1:4" s="234" customFormat="1" ht="17.5" hidden="1" customHeight="1" x14ac:dyDescent="0.35">
      <c r="A21" s="245"/>
      <c r="B21" s="248"/>
      <c r="C21" s="248"/>
      <c r="D21" s="251"/>
    </row>
    <row r="22" spans="1:4" s="234" customFormat="1" ht="17.5" hidden="1" customHeight="1" x14ac:dyDescent="0.35">
      <c r="A22" s="245"/>
      <c r="B22" s="258" t="s">
        <v>60</v>
      </c>
      <c r="C22" s="259"/>
      <c r="D22" s="93">
        <v>8</v>
      </c>
    </row>
    <row r="23" spans="1:4" s="234" customFormat="1" ht="17.5" customHeight="1" x14ac:dyDescent="0.35">
      <c r="A23" s="102"/>
      <c r="B23" s="101"/>
      <c r="C23" s="101"/>
      <c r="D23" s="101"/>
    </row>
    <row r="24" spans="1:4" s="234" customFormat="1" x14ac:dyDescent="0.35">
      <c r="A24" s="245" t="s">
        <v>61</v>
      </c>
      <c r="B24" s="276">
        <v>0.29166666666666669</v>
      </c>
      <c r="C24" s="276">
        <v>0.625</v>
      </c>
      <c r="D24" s="278">
        <v>2</v>
      </c>
    </row>
    <row r="25" spans="1:4" s="234" customFormat="1" ht="17.5" customHeight="1" x14ac:dyDescent="0.35">
      <c r="A25" s="245"/>
      <c r="B25" s="277"/>
      <c r="C25" s="277"/>
      <c r="D25" s="280"/>
    </row>
    <row r="26" spans="1:4" s="234" customFormat="1" ht="17.5" customHeight="1" x14ac:dyDescent="0.35">
      <c r="A26" s="245"/>
      <c r="B26" s="284" t="s">
        <v>39</v>
      </c>
      <c r="C26" s="278" t="s">
        <v>67</v>
      </c>
      <c r="D26" s="278">
        <v>2</v>
      </c>
    </row>
    <row r="27" spans="1:4" s="234" customFormat="1" ht="21.75" customHeight="1" x14ac:dyDescent="0.35">
      <c r="A27" s="245"/>
      <c r="B27" s="285"/>
      <c r="C27" s="280"/>
      <c r="D27" s="280"/>
    </row>
    <row r="28" spans="1:4" s="234" customFormat="1" ht="17.5" customHeight="1" x14ac:dyDescent="0.35">
      <c r="A28" s="245"/>
      <c r="B28" s="51" t="s">
        <v>71</v>
      </c>
      <c r="C28" s="51" t="s">
        <v>58</v>
      </c>
      <c r="D28" s="51">
        <v>1</v>
      </c>
    </row>
    <row r="29" spans="1:4" s="234" customFormat="1" ht="17.5" customHeight="1" x14ac:dyDescent="0.35">
      <c r="A29" s="245"/>
      <c r="B29" s="278" t="s">
        <v>74</v>
      </c>
      <c r="C29" s="278" t="s">
        <v>75</v>
      </c>
      <c r="D29" s="278">
        <v>3</v>
      </c>
    </row>
    <row r="30" spans="1:4" s="234" customFormat="1" ht="17.5" customHeight="1" x14ac:dyDescent="0.35">
      <c r="A30" s="245"/>
      <c r="B30" s="279"/>
      <c r="C30" s="279"/>
      <c r="D30" s="279"/>
    </row>
    <row r="31" spans="1:4" s="234" customFormat="1" ht="17.5" customHeight="1" x14ac:dyDescent="0.35">
      <c r="A31" s="245"/>
      <c r="B31" s="280"/>
      <c r="C31" s="280"/>
      <c r="D31" s="280"/>
    </row>
    <row r="32" spans="1:4" s="234" customFormat="1" ht="19" customHeight="1" x14ac:dyDescent="0.35">
      <c r="A32" s="245"/>
      <c r="B32" s="51" t="s">
        <v>81</v>
      </c>
      <c r="C32" s="51" t="s">
        <v>53</v>
      </c>
      <c r="D32" s="51">
        <v>1</v>
      </c>
    </row>
    <row r="33" spans="1:4" s="234" customFormat="1" ht="17.5" customHeight="1" x14ac:dyDescent="0.35">
      <c r="A33" s="245"/>
      <c r="B33" s="278" t="s">
        <v>52</v>
      </c>
      <c r="C33" s="278" t="s">
        <v>83</v>
      </c>
      <c r="D33" s="278">
        <v>5</v>
      </c>
    </row>
    <row r="34" spans="1:4" s="234" customFormat="1" ht="17.5" customHeight="1" x14ac:dyDescent="0.35">
      <c r="A34" s="245"/>
      <c r="B34" s="279"/>
      <c r="C34" s="279"/>
      <c r="D34" s="279"/>
    </row>
    <row r="35" spans="1:4" s="234" customFormat="1" ht="17.5" customHeight="1" x14ac:dyDescent="0.35">
      <c r="A35" s="245"/>
      <c r="B35" s="279"/>
      <c r="C35" s="279"/>
      <c r="D35" s="279"/>
    </row>
    <row r="36" spans="1:4" s="234" customFormat="1" ht="17.5" customHeight="1" x14ac:dyDescent="0.35">
      <c r="A36" s="245"/>
      <c r="B36" s="279"/>
      <c r="C36" s="279"/>
      <c r="D36" s="279"/>
    </row>
    <row r="37" spans="1:4" s="234" customFormat="1" ht="17.5" customHeight="1" x14ac:dyDescent="0.35">
      <c r="A37" s="245"/>
      <c r="B37" s="280"/>
      <c r="C37" s="280"/>
      <c r="D37" s="280"/>
    </row>
    <row r="38" spans="1:4" s="234" customFormat="1" ht="17.5" customHeight="1" x14ac:dyDescent="0.35">
      <c r="A38" s="245"/>
      <c r="B38" s="278" t="s">
        <v>92</v>
      </c>
      <c r="C38" s="278" t="s">
        <v>53</v>
      </c>
      <c r="D38" s="278">
        <v>2</v>
      </c>
    </row>
    <row r="39" spans="1:4" s="234" customFormat="1" ht="17.5" customHeight="1" x14ac:dyDescent="0.35">
      <c r="A39" s="245"/>
      <c r="B39" s="280"/>
      <c r="C39" s="280"/>
      <c r="D39" s="280"/>
    </row>
    <row r="40" spans="1:4" s="234" customFormat="1" ht="17.5" customHeight="1" x14ac:dyDescent="0.35">
      <c r="A40" s="245"/>
      <c r="B40" s="278" t="s">
        <v>75</v>
      </c>
      <c r="C40" s="278" t="s">
        <v>83</v>
      </c>
      <c r="D40" s="278">
        <v>2</v>
      </c>
    </row>
    <row r="41" spans="1:4" s="234" customFormat="1" ht="17.5" customHeight="1" x14ac:dyDescent="0.35">
      <c r="A41" s="245"/>
      <c r="B41" s="280"/>
      <c r="C41" s="280"/>
      <c r="D41" s="280"/>
    </row>
    <row r="42" spans="1:4" s="234" customFormat="1" ht="17.5" customHeight="1" x14ac:dyDescent="0.35">
      <c r="A42" s="245"/>
      <c r="B42" s="289" t="s">
        <v>83</v>
      </c>
      <c r="C42" s="292" t="s">
        <v>96</v>
      </c>
      <c r="D42" s="278">
        <v>5</v>
      </c>
    </row>
    <row r="43" spans="1:4" s="234" customFormat="1" ht="17.5" customHeight="1" x14ac:dyDescent="0.35">
      <c r="A43" s="245"/>
      <c r="B43" s="290"/>
      <c r="C43" s="293"/>
      <c r="D43" s="279"/>
    </row>
    <row r="44" spans="1:4" s="234" customFormat="1" ht="17.5" customHeight="1" x14ac:dyDescent="0.35">
      <c r="A44" s="245"/>
      <c r="B44" s="290"/>
      <c r="C44" s="293"/>
      <c r="D44" s="279"/>
    </row>
    <row r="45" spans="1:4" s="234" customFormat="1" ht="17.5" customHeight="1" x14ac:dyDescent="0.35">
      <c r="A45" s="245"/>
      <c r="B45" s="290"/>
      <c r="C45" s="293"/>
      <c r="D45" s="279"/>
    </row>
    <row r="46" spans="1:4" s="234" customFormat="1" ht="17.5" customHeight="1" x14ac:dyDescent="0.35">
      <c r="A46" s="245"/>
      <c r="B46" s="291"/>
      <c r="C46" s="294"/>
      <c r="D46" s="280"/>
    </row>
    <row r="47" spans="1:4" s="234" customFormat="1" ht="17.5" customHeight="1" x14ac:dyDescent="0.35">
      <c r="A47" s="129"/>
      <c r="B47" s="101"/>
      <c r="C47" s="101"/>
      <c r="D47" s="101"/>
    </row>
    <row r="48" spans="1:4" s="234" customFormat="1" ht="17.5" customHeight="1" x14ac:dyDescent="0.35">
      <c r="A48" s="309" t="s">
        <v>107</v>
      </c>
      <c r="B48" s="278" t="s">
        <v>96</v>
      </c>
      <c r="C48" s="278" t="s">
        <v>108</v>
      </c>
      <c r="D48" s="278">
        <v>3</v>
      </c>
    </row>
    <row r="49" spans="1:4" s="234" customFormat="1" ht="17.5" customHeight="1" x14ac:dyDescent="0.35">
      <c r="A49" s="309"/>
      <c r="B49" s="279"/>
      <c r="C49" s="279"/>
      <c r="D49" s="279"/>
    </row>
    <row r="50" spans="1:4" s="234" customFormat="1" ht="17.5" customHeight="1" x14ac:dyDescent="0.35">
      <c r="A50" s="309"/>
      <c r="B50" s="280"/>
      <c r="C50" s="280"/>
      <c r="D50" s="280"/>
    </row>
    <row r="51" spans="1:4" s="234" customFormat="1" ht="17.5" customHeight="1" x14ac:dyDescent="0.35">
      <c r="A51" s="309"/>
      <c r="B51" s="130" t="s">
        <v>39</v>
      </c>
      <c r="C51" s="131">
        <v>0.625</v>
      </c>
      <c r="D51" s="51">
        <v>1</v>
      </c>
    </row>
    <row r="52" spans="1:4" s="234" customFormat="1" ht="17.5" customHeight="1" x14ac:dyDescent="0.35">
      <c r="A52" s="309"/>
      <c r="B52" s="51" t="s">
        <v>114</v>
      </c>
      <c r="C52" s="51" t="s">
        <v>67</v>
      </c>
      <c r="D52" s="51">
        <v>1</v>
      </c>
    </row>
    <row r="53" spans="1:4" s="234" customFormat="1" ht="17.5" customHeight="1" x14ac:dyDescent="0.35">
      <c r="A53" s="309"/>
      <c r="B53" s="51" t="s">
        <v>71</v>
      </c>
      <c r="C53" s="51" t="s">
        <v>58</v>
      </c>
      <c r="D53" s="51">
        <v>1</v>
      </c>
    </row>
    <row r="54" spans="1:4" s="234" customFormat="1" ht="17.5" customHeight="1" x14ac:dyDescent="0.35">
      <c r="A54" s="309"/>
      <c r="B54" s="135" t="s">
        <v>74</v>
      </c>
      <c r="C54" s="135" t="s">
        <v>75</v>
      </c>
      <c r="D54" s="135">
        <v>1</v>
      </c>
    </row>
    <row r="55" spans="1:4" s="234" customFormat="1" ht="17.5" customHeight="1" x14ac:dyDescent="0.35">
      <c r="A55" s="309"/>
      <c r="B55" s="278" t="s">
        <v>81</v>
      </c>
      <c r="C55" s="278" t="s">
        <v>53</v>
      </c>
      <c r="D55" s="278">
        <v>2</v>
      </c>
    </row>
    <row r="56" spans="1:4" s="234" customFormat="1" ht="17.5" customHeight="1" x14ac:dyDescent="0.35">
      <c r="A56" s="309"/>
      <c r="B56" s="280"/>
      <c r="C56" s="280"/>
      <c r="D56" s="280"/>
    </row>
    <row r="57" spans="1:4" s="234" customFormat="1" ht="17.5" customHeight="1" x14ac:dyDescent="0.35">
      <c r="A57" s="309"/>
      <c r="B57" s="51" t="s">
        <v>52</v>
      </c>
      <c r="C57" s="51" t="s">
        <v>83</v>
      </c>
      <c r="D57" s="51">
        <v>1</v>
      </c>
    </row>
    <row r="58" spans="1:4" s="234" customFormat="1" ht="17.5" customHeight="1" x14ac:dyDescent="0.35">
      <c r="A58" s="309"/>
      <c r="B58" s="138" t="s">
        <v>83</v>
      </c>
      <c r="C58" s="138" t="s">
        <v>121</v>
      </c>
      <c r="D58" s="138">
        <v>1</v>
      </c>
    </row>
    <row r="59" spans="1:4" s="234" customFormat="1" ht="17.5" hidden="1" customHeight="1" x14ac:dyDescent="0.35">
      <c r="A59" s="309"/>
      <c r="B59" s="51" t="s">
        <v>96</v>
      </c>
      <c r="C59" s="131">
        <v>0.625</v>
      </c>
      <c r="D59" s="51">
        <v>1</v>
      </c>
    </row>
    <row r="60" spans="1:4" s="234" customFormat="1" ht="17.5" hidden="1" customHeight="1" x14ac:dyDescent="0.35">
      <c r="A60" s="309"/>
      <c r="B60" s="51" t="s">
        <v>96</v>
      </c>
      <c r="C60" s="51" t="s">
        <v>40</v>
      </c>
      <c r="D60" s="51">
        <v>1</v>
      </c>
    </row>
    <row r="61" spans="1:4" s="234" customFormat="1" ht="17.5" hidden="1" customHeight="1" x14ac:dyDescent="0.35">
      <c r="A61" s="309"/>
      <c r="B61" s="284" t="s">
        <v>39</v>
      </c>
      <c r="C61" s="278" t="s">
        <v>67</v>
      </c>
      <c r="D61" s="278">
        <v>2</v>
      </c>
    </row>
    <row r="62" spans="1:4" s="234" customFormat="1" ht="17.5" hidden="1" customHeight="1" x14ac:dyDescent="0.35">
      <c r="A62" s="309"/>
      <c r="B62" s="285"/>
      <c r="C62" s="280"/>
      <c r="D62" s="280"/>
    </row>
    <row r="63" spans="1:4" s="234" customFormat="1" ht="17.5" hidden="1" customHeight="1" x14ac:dyDescent="0.35">
      <c r="A63" s="309"/>
      <c r="B63" s="51" t="s">
        <v>71</v>
      </c>
      <c r="C63" s="51" t="s">
        <v>52</v>
      </c>
      <c r="D63" s="51">
        <v>1</v>
      </c>
    </row>
    <row r="64" spans="1:4" s="234" customFormat="1" ht="17.5" hidden="1" customHeight="1" x14ac:dyDescent="0.35">
      <c r="A64" s="309"/>
      <c r="B64" s="51" t="s">
        <v>71</v>
      </c>
      <c r="C64" s="51" t="s">
        <v>124</v>
      </c>
      <c r="D64" s="51">
        <v>1</v>
      </c>
    </row>
    <row r="65" spans="1:4" s="234" customFormat="1" ht="17.5" hidden="1" customHeight="1" x14ac:dyDescent="0.35">
      <c r="A65" s="309"/>
      <c r="B65" s="51" t="s">
        <v>83</v>
      </c>
      <c r="C65" s="51" t="s">
        <v>121</v>
      </c>
      <c r="D65" s="51">
        <v>1</v>
      </c>
    </row>
    <row r="66" spans="1:4" s="234" customFormat="1" ht="17.5" hidden="1" customHeight="1" x14ac:dyDescent="0.35">
      <c r="A66" s="309"/>
      <c r="B66" s="258" t="s">
        <v>60</v>
      </c>
      <c r="C66" s="259"/>
      <c r="D66" s="141">
        <f>SUM(D59:D65)</f>
        <v>7</v>
      </c>
    </row>
    <row r="67" spans="1:4" s="234" customFormat="1" ht="17.5" hidden="1" customHeight="1" x14ac:dyDescent="0.35">
      <c r="A67" s="309"/>
      <c r="B67" s="51" t="s">
        <v>83</v>
      </c>
      <c r="C67" s="51" t="s">
        <v>121</v>
      </c>
      <c r="D67" s="51">
        <v>1</v>
      </c>
    </row>
    <row r="68" spans="1:4" s="234" customFormat="1" ht="17.5" hidden="1" customHeight="1" x14ac:dyDescent="0.35">
      <c r="A68" s="309"/>
      <c r="B68" s="258" t="s">
        <v>126</v>
      </c>
      <c r="C68" s="259"/>
      <c r="D68" s="141">
        <v>1</v>
      </c>
    </row>
    <row r="69" spans="1:4" s="234" customFormat="1" ht="17.5" customHeight="1" x14ac:dyDescent="0.35">
      <c r="A69" s="146"/>
      <c r="B69" s="101"/>
      <c r="C69" s="101"/>
      <c r="D69" s="101"/>
    </row>
    <row r="70" spans="1:4" s="234" customFormat="1" ht="17.5" customHeight="1" x14ac:dyDescent="0.35">
      <c r="A70" s="245" t="s">
        <v>127</v>
      </c>
      <c r="B70" s="303">
        <v>0.29166666666666669</v>
      </c>
      <c r="C70" s="303">
        <v>0.625</v>
      </c>
      <c r="D70" s="249">
        <v>3</v>
      </c>
    </row>
    <row r="71" spans="1:4" s="234" customFormat="1" ht="17.5" customHeight="1" x14ac:dyDescent="0.35">
      <c r="A71" s="245"/>
      <c r="B71" s="304"/>
      <c r="C71" s="304"/>
      <c r="D71" s="250"/>
    </row>
    <row r="72" spans="1:4" s="234" customFormat="1" ht="17.5" customHeight="1" x14ac:dyDescent="0.35">
      <c r="A72" s="245"/>
      <c r="B72" s="305"/>
      <c r="C72" s="305"/>
      <c r="D72" s="251"/>
    </row>
    <row r="73" spans="1:4" s="234" customFormat="1" ht="17.5" customHeight="1" x14ac:dyDescent="0.35">
      <c r="A73" s="245"/>
      <c r="B73" s="278" t="s">
        <v>81</v>
      </c>
      <c r="C73" s="278" t="s">
        <v>53</v>
      </c>
      <c r="D73" s="278">
        <v>2</v>
      </c>
    </row>
    <row r="74" spans="1:4" s="234" customFormat="1" ht="17.5" customHeight="1" x14ac:dyDescent="0.35">
      <c r="A74" s="245"/>
      <c r="B74" s="280"/>
      <c r="C74" s="280"/>
      <c r="D74" s="280"/>
    </row>
    <row r="75" spans="1:4" s="234" customFormat="1" ht="17.5" customHeight="1" x14ac:dyDescent="0.35">
      <c r="A75" s="245"/>
      <c r="B75" s="278" t="s">
        <v>52</v>
      </c>
      <c r="C75" s="278" t="s">
        <v>83</v>
      </c>
      <c r="D75" s="278">
        <v>2</v>
      </c>
    </row>
    <row r="76" spans="1:4" s="234" customFormat="1" ht="17.5" customHeight="1" x14ac:dyDescent="0.35">
      <c r="A76" s="245"/>
      <c r="B76" s="280"/>
      <c r="C76" s="280"/>
      <c r="D76" s="280"/>
    </row>
    <row r="77" spans="1:4" s="234" customFormat="1" ht="17.5" customHeight="1" x14ac:dyDescent="0.35">
      <c r="A77" s="245"/>
      <c r="B77" s="106" t="s">
        <v>83</v>
      </c>
      <c r="C77" s="106" t="s">
        <v>121</v>
      </c>
      <c r="D77" s="52">
        <v>1</v>
      </c>
    </row>
    <row r="78" spans="1:4" s="234" customFormat="1" ht="17.5" customHeight="1" x14ac:dyDescent="0.35">
      <c r="A78" s="245"/>
      <c r="B78" s="315" t="s">
        <v>140</v>
      </c>
      <c r="C78" s="316"/>
      <c r="D78" s="52"/>
    </row>
    <row r="79" spans="1:4" s="234" customFormat="1" ht="17.5" hidden="1" customHeight="1" x14ac:dyDescent="0.35">
      <c r="A79" s="245"/>
      <c r="B79" s="131">
        <v>0.29166666666666669</v>
      </c>
      <c r="C79" s="131">
        <v>0.625</v>
      </c>
      <c r="D79" s="51">
        <v>1</v>
      </c>
    </row>
    <row r="80" spans="1:4" s="234" customFormat="1" ht="17.5" hidden="1" customHeight="1" x14ac:dyDescent="0.35">
      <c r="A80" s="245"/>
      <c r="B80" s="51" t="s">
        <v>81</v>
      </c>
      <c r="C80" s="51" t="s">
        <v>53</v>
      </c>
      <c r="D80" s="51">
        <v>1</v>
      </c>
    </row>
    <row r="81" spans="1:4" s="234" customFormat="1" ht="17.5" hidden="1" customHeight="1" x14ac:dyDescent="0.35">
      <c r="A81" s="245"/>
      <c r="B81" s="51" t="s">
        <v>52</v>
      </c>
      <c r="C81" s="51" t="s">
        <v>83</v>
      </c>
      <c r="D81" s="51">
        <v>1</v>
      </c>
    </row>
    <row r="82" spans="1:4" s="234" customFormat="1" ht="17.5" hidden="1" customHeight="1" x14ac:dyDescent="0.35">
      <c r="A82" s="245"/>
      <c r="B82" s="106" t="s">
        <v>83</v>
      </c>
      <c r="C82" s="106" t="s">
        <v>121</v>
      </c>
      <c r="D82" s="51">
        <v>1</v>
      </c>
    </row>
    <row r="83" spans="1:4" s="234" customFormat="1" ht="17.5" hidden="1" customHeight="1" x14ac:dyDescent="0.35">
      <c r="A83" s="245"/>
      <c r="B83" s="315" t="s">
        <v>140</v>
      </c>
      <c r="C83" s="316"/>
      <c r="D83" s="51"/>
    </row>
    <row r="84" spans="1:4" s="234" customFormat="1" ht="17.5" hidden="1" customHeight="1" x14ac:dyDescent="0.35">
      <c r="A84" s="245"/>
      <c r="B84" s="313" t="s">
        <v>143</v>
      </c>
      <c r="C84" s="314"/>
      <c r="D84" s="141">
        <f>SUM(D79:D82)</f>
        <v>4</v>
      </c>
    </row>
    <row r="85" spans="1:4" s="234" customFormat="1" ht="17.5" customHeight="1" x14ac:dyDescent="0.35">
      <c r="A85" s="102"/>
      <c r="B85" s="101"/>
      <c r="C85" s="101"/>
      <c r="D85" s="101"/>
    </row>
    <row r="86" spans="1:4" s="234" customFormat="1" ht="17.5" customHeight="1" x14ac:dyDescent="0.35">
      <c r="A86" s="245" t="s">
        <v>144</v>
      </c>
      <c r="B86" s="51" t="s">
        <v>96</v>
      </c>
      <c r="C86" s="51" t="s">
        <v>58</v>
      </c>
      <c r="D86" s="51">
        <v>1</v>
      </c>
    </row>
    <row r="87" spans="1:4" s="234" customFormat="1" ht="17.5" customHeight="1" x14ac:dyDescent="0.35">
      <c r="A87" s="245"/>
      <c r="B87" s="51" t="s">
        <v>96</v>
      </c>
      <c r="C87" s="51" t="s">
        <v>67</v>
      </c>
      <c r="D87" s="51">
        <v>1</v>
      </c>
    </row>
    <row r="88" spans="1:4" s="234" customFormat="1" ht="17.5" customHeight="1" x14ac:dyDescent="0.35">
      <c r="A88" s="245"/>
      <c r="B88" s="284" t="s">
        <v>39</v>
      </c>
      <c r="C88" s="278" t="s">
        <v>67</v>
      </c>
      <c r="D88" s="278">
        <v>3</v>
      </c>
    </row>
    <row r="89" spans="1:4" s="234" customFormat="1" ht="17.5" customHeight="1" x14ac:dyDescent="0.35">
      <c r="A89" s="245"/>
      <c r="B89" s="317"/>
      <c r="C89" s="279"/>
      <c r="D89" s="279"/>
    </row>
    <row r="90" spans="1:4" s="234" customFormat="1" ht="17.5" customHeight="1" x14ac:dyDescent="0.35">
      <c r="A90" s="245"/>
      <c r="B90" s="285"/>
      <c r="C90" s="280"/>
      <c r="D90" s="280"/>
    </row>
    <row r="91" spans="1:4" s="234" customFormat="1" ht="17.5" customHeight="1" x14ac:dyDescent="0.35">
      <c r="A91" s="245"/>
      <c r="B91" s="51" t="s">
        <v>81</v>
      </c>
      <c r="C91" s="51" t="s">
        <v>52</v>
      </c>
      <c r="D91" s="51">
        <v>1</v>
      </c>
    </row>
    <row r="92" spans="1:4" s="234" customFormat="1" ht="17.5" customHeight="1" x14ac:dyDescent="0.35">
      <c r="A92" s="245"/>
      <c r="B92" s="51" t="s">
        <v>81</v>
      </c>
      <c r="C92" s="51" t="s">
        <v>53</v>
      </c>
      <c r="D92" s="51">
        <v>1</v>
      </c>
    </row>
    <row r="93" spans="1:4" s="234" customFormat="1" ht="17.5" customHeight="1" x14ac:dyDescent="0.35">
      <c r="A93" s="245"/>
      <c r="B93" s="154" t="s">
        <v>40</v>
      </c>
      <c r="C93" s="51" t="s">
        <v>153</v>
      </c>
      <c r="D93" s="51">
        <v>1</v>
      </c>
    </row>
    <row r="94" spans="1:4" s="234" customFormat="1" ht="17.5" customHeight="1" x14ac:dyDescent="0.35">
      <c r="A94" s="245"/>
      <c r="B94" s="278" t="s">
        <v>52</v>
      </c>
      <c r="C94" s="278" t="s">
        <v>83</v>
      </c>
      <c r="D94" s="278">
        <v>2</v>
      </c>
    </row>
    <row r="95" spans="1:4" s="234" customFormat="1" ht="17.5" customHeight="1" x14ac:dyDescent="0.35">
      <c r="A95" s="245"/>
      <c r="B95" s="280"/>
      <c r="C95" s="280"/>
      <c r="D95" s="280"/>
    </row>
    <row r="96" spans="1:4" s="234" customFormat="1" ht="17.5" customHeight="1" x14ac:dyDescent="0.35">
      <c r="A96" s="245"/>
      <c r="B96" s="154" t="s">
        <v>67</v>
      </c>
      <c r="C96" s="51" t="s">
        <v>53</v>
      </c>
      <c r="D96" s="51">
        <v>1</v>
      </c>
    </row>
    <row r="97" spans="1:4" s="234" customFormat="1" ht="17.5" customHeight="1" x14ac:dyDescent="0.35">
      <c r="A97" s="245"/>
      <c r="B97" s="154" t="s">
        <v>67</v>
      </c>
      <c r="C97" s="51" t="s">
        <v>83</v>
      </c>
      <c r="D97" s="51">
        <v>1</v>
      </c>
    </row>
    <row r="98" spans="1:4" s="234" customFormat="1" ht="17.5" customHeight="1" x14ac:dyDescent="0.35">
      <c r="A98" s="245"/>
      <c r="B98" s="155" t="s">
        <v>83</v>
      </c>
      <c r="C98" s="138" t="s">
        <v>158</v>
      </c>
      <c r="D98" s="138">
        <v>1</v>
      </c>
    </row>
    <row r="99" spans="1:4" s="234" customFormat="1" ht="17.5" customHeight="1" x14ac:dyDescent="0.35">
      <c r="A99" s="245"/>
      <c r="B99" s="155" t="s">
        <v>161</v>
      </c>
      <c r="C99" s="138" t="s">
        <v>162</v>
      </c>
      <c r="D99" s="138">
        <v>1</v>
      </c>
    </row>
    <row r="100" spans="1:4" s="234" customFormat="1" ht="17.5" customHeight="1" x14ac:dyDescent="0.35">
      <c r="A100" s="245"/>
      <c r="B100" s="155" t="s">
        <v>163</v>
      </c>
      <c r="C100" s="138" t="s">
        <v>121</v>
      </c>
      <c r="D100" s="138">
        <v>1</v>
      </c>
    </row>
    <row r="101" spans="1:4" s="234" customFormat="1" ht="17.5" hidden="1" customHeight="1" x14ac:dyDescent="0.35">
      <c r="A101" s="245"/>
      <c r="B101" s="284" t="s">
        <v>39</v>
      </c>
      <c r="C101" s="278" t="s">
        <v>67</v>
      </c>
      <c r="D101" s="278">
        <v>4</v>
      </c>
    </row>
    <row r="102" spans="1:4" s="234" customFormat="1" ht="17.5" hidden="1" customHeight="1" x14ac:dyDescent="0.35">
      <c r="A102" s="245"/>
      <c r="B102" s="317"/>
      <c r="C102" s="279"/>
      <c r="D102" s="279"/>
    </row>
    <row r="103" spans="1:4" s="234" customFormat="1" ht="17.5" hidden="1" customHeight="1" x14ac:dyDescent="0.35">
      <c r="A103" s="245"/>
      <c r="B103" s="317"/>
      <c r="C103" s="279"/>
      <c r="D103" s="279"/>
    </row>
    <row r="104" spans="1:4" s="234" customFormat="1" ht="17.5" hidden="1" customHeight="1" x14ac:dyDescent="0.35">
      <c r="A104" s="245"/>
      <c r="B104" s="285"/>
      <c r="C104" s="280"/>
      <c r="D104" s="280"/>
    </row>
    <row r="105" spans="1:4" s="234" customFormat="1" ht="17.5" hidden="1" customHeight="1" x14ac:dyDescent="0.35">
      <c r="A105" s="245"/>
      <c r="B105" s="154" t="s">
        <v>71</v>
      </c>
      <c r="C105" s="51" t="s">
        <v>153</v>
      </c>
      <c r="D105" s="51">
        <v>1</v>
      </c>
    </row>
    <row r="106" spans="1:4" s="234" customFormat="1" ht="17.5" hidden="1" customHeight="1" x14ac:dyDescent="0.35">
      <c r="A106" s="245"/>
      <c r="B106" s="51" t="s">
        <v>81</v>
      </c>
      <c r="C106" s="51" t="s">
        <v>52</v>
      </c>
      <c r="D106" s="51">
        <v>1</v>
      </c>
    </row>
    <row r="107" spans="1:4" s="234" customFormat="1" ht="17.5" hidden="1" customHeight="1" x14ac:dyDescent="0.35">
      <c r="A107" s="245"/>
      <c r="B107" s="51" t="s">
        <v>81</v>
      </c>
      <c r="C107" s="51" t="s">
        <v>53</v>
      </c>
      <c r="D107" s="51">
        <v>1</v>
      </c>
    </row>
    <row r="108" spans="1:4" s="234" customFormat="1" ht="17.5" hidden="1" customHeight="1" x14ac:dyDescent="0.35">
      <c r="A108" s="245"/>
      <c r="B108" s="278" t="s">
        <v>52</v>
      </c>
      <c r="C108" s="278" t="s">
        <v>83</v>
      </c>
      <c r="D108" s="278">
        <v>2</v>
      </c>
    </row>
    <row r="109" spans="1:4" s="234" customFormat="1" ht="17.5" hidden="1" customHeight="1" x14ac:dyDescent="0.35">
      <c r="A109" s="245"/>
      <c r="B109" s="280"/>
      <c r="C109" s="280"/>
      <c r="D109" s="280"/>
    </row>
    <row r="110" spans="1:4" s="234" customFormat="1" ht="17.5" hidden="1" customHeight="1" x14ac:dyDescent="0.35">
      <c r="A110" s="245"/>
      <c r="B110" s="156" t="s">
        <v>67</v>
      </c>
      <c r="C110" s="135" t="s">
        <v>83</v>
      </c>
      <c r="D110" s="135">
        <v>1</v>
      </c>
    </row>
    <row r="111" spans="1:4" s="234" customFormat="1" ht="17.5" hidden="1" customHeight="1" x14ac:dyDescent="0.35">
      <c r="A111" s="245"/>
      <c r="B111" s="155" t="s">
        <v>83</v>
      </c>
      <c r="C111" s="138" t="s">
        <v>158</v>
      </c>
      <c r="D111" s="138">
        <v>1</v>
      </c>
    </row>
    <row r="112" spans="1:4" s="234" customFormat="1" ht="17.5" hidden="1" customHeight="1" x14ac:dyDescent="0.35">
      <c r="A112" s="245"/>
      <c r="B112" s="155" t="s">
        <v>161</v>
      </c>
      <c r="C112" s="138" t="s">
        <v>162</v>
      </c>
      <c r="D112" s="138">
        <v>1</v>
      </c>
    </row>
    <row r="113" spans="1:4" s="234" customFormat="1" ht="17.5" hidden="1" customHeight="1" x14ac:dyDescent="0.35">
      <c r="A113" s="245"/>
      <c r="B113" s="155" t="s">
        <v>163</v>
      </c>
      <c r="C113" s="138" t="s">
        <v>121</v>
      </c>
      <c r="D113" s="138">
        <v>1</v>
      </c>
    </row>
    <row r="114" spans="1:4" s="234" customFormat="1" ht="17.5" hidden="1" customHeight="1" x14ac:dyDescent="0.35">
      <c r="A114" s="245"/>
      <c r="B114" s="258" t="s">
        <v>60</v>
      </c>
      <c r="C114" s="259"/>
      <c r="D114" s="141">
        <f>SUM(D101:D113)</f>
        <v>13</v>
      </c>
    </row>
    <row r="115" spans="1:4" s="234" customFormat="1" ht="17.5" hidden="1" customHeight="1" x14ac:dyDescent="0.35">
      <c r="A115" s="245"/>
      <c r="B115" s="284" t="s">
        <v>39</v>
      </c>
      <c r="C115" s="278" t="s">
        <v>67</v>
      </c>
      <c r="D115" s="278">
        <v>4</v>
      </c>
    </row>
    <row r="116" spans="1:4" s="234" customFormat="1" ht="17.5" hidden="1" customHeight="1" x14ac:dyDescent="0.35">
      <c r="A116" s="245"/>
      <c r="B116" s="317"/>
      <c r="C116" s="279"/>
      <c r="D116" s="279"/>
    </row>
    <row r="117" spans="1:4" s="234" customFormat="1" ht="17.5" hidden="1" customHeight="1" x14ac:dyDescent="0.35">
      <c r="A117" s="245"/>
      <c r="B117" s="317"/>
      <c r="C117" s="279"/>
      <c r="D117" s="279"/>
    </row>
    <row r="118" spans="1:4" s="234" customFormat="1" ht="17.5" hidden="1" customHeight="1" x14ac:dyDescent="0.35">
      <c r="A118" s="245"/>
      <c r="B118" s="285"/>
      <c r="C118" s="280"/>
      <c r="D118" s="280"/>
    </row>
    <row r="119" spans="1:4" s="234" customFormat="1" ht="17.5" hidden="1" customHeight="1" x14ac:dyDescent="0.35">
      <c r="A119" s="245"/>
      <c r="B119" s="51" t="s">
        <v>81</v>
      </c>
      <c r="C119" s="51" t="s">
        <v>52</v>
      </c>
      <c r="D119" s="51">
        <v>1</v>
      </c>
    </row>
    <row r="120" spans="1:4" s="234" customFormat="1" ht="17.5" hidden="1" customHeight="1" x14ac:dyDescent="0.35">
      <c r="A120" s="245"/>
      <c r="B120" s="278" t="s">
        <v>52</v>
      </c>
      <c r="C120" s="278" t="s">
        <v>83</v>
      </c>
      <c r="D120" s="278">
        <v>2</v>
      </c>
    </row>
    <row r="121" spans="1:4" s="234" customFormat="1" ht="17.5" hidden="1" customHeight="1" x14ac:dyDescent="0.35">
      <c r="A121" s="245"/>
      <c r="B121" s="280"/>
      <c r="C121" s="280"/>
      <c r="D121" s="280"/>
    </row>
    <row r="122" spans="1:4" s="234" customFormat="1" ht="17.5" hidden="1" customHeight="1" x14ac:dyDescent="0.35">
      <c r="A122" s="245"/>
      <c r="B122" s="156" t="s">
        <v>67</v>
      </c>
      <c r="C122" s="135" t="s">
        <v>83</v>
      </c>
      <c r="D122" s="135">
        <v>1</v>
      </c>
    </row>
    <row r="123" spans="1:4" s="234" customFormat="1" ht="17.5" hidden="1" customHeight="1" x14ac:dyDescent="0.35">
      <c r="A123" s="245"/>
      <c r="B123" s="155" t="s">
        <v>83</v>
      </c>
      <c r="C123" s="138" t="s">
        <v>158</v>
      </c>
      <c r="D123" s="138">
        <v>1</v>
      </c>
    </row>
    <row r="124" spans="1:4" s="234" customFormat="1" ht="17.5" hidden="1" customHeight="1" x14ac:dyDescent="0.35">
      <c r="A124" s="245"/>
      <c r="B124" s="155" t="s">
        <v>161</v>
      </c>
      <c r="C124" s="138" t="s">
        <v>162</v>
      </c>
      <c r="D124" s="138">
        <v>1</v>
      </c>
    </row>
    <row r="125" spans="1:4" s="234" customFormat="1" ht="17.5" hidden="1" customHeight="1" x14ac:dyDescent="0.35">
      <c r="A125" s="245"/>
      <c r="B125" s="155" t="s">
        <v>163</v>
      </c>
      <c r="C125" s="138" t="s">
        <v>121</v>
      </c>
      <c r="D125" s="138">
        <v>1</v>
      </c>
    </row>
    <row r="126" spans="1:4" s="234" customFormat="1" ht="17.5" hidden="1" customHeight="1" x14ac:dyDescent="0.35">
      <c r="A126" s="245"/>
      <c r="B126" s="258" t="s">
        <v>143</v>
      </c>
      <c r="C126" s="259"/>
      <c r="D126" s="141">
        <f>SUM(D115:D125)</f>
        <v>11</v>
      </c>
    </row>
    <row r="127" spans="1:4" s="234" customFormat="1" ht="17.5" customHeight="1" x14ac:dyDescent="0.35">
      <c r="A127" s="102"/>
      <c r="B127" s="101"/>
      <c r="C127" s="101"/>
      <c r="D127" s="101"/>
    </row>
    <row r="128" spans="1:4" s="234" customFormat="1" ht="17.5" customHeight="1" x14ac:dyDescent="0.35">
      <c r="A128" s="245" t="s">
        <v>171</v>
      </c>
      <c r="B128" s="324" t="s">
        <v>71</v>
      </c>
      <c r="C128" s="278" t="s">
        <v>58</v>
      </c>
      <c r="D128" s="278">
        <v>2</v>
      </c>
    </row>
    <row r="129" spans="1:4" s="234" customFormat="1" ht="17.5" customHeight="1" x14ac:dyDescent="0.35">
      <c r="A129" s="245"/>
      <c r="B129" s="325"/>
      <c r="C129" s="280"/>
      <c r="D129" s="280"/>
    </row>
    <row r="130" spans="1:4" s="234" customFormat="1" ht="17.5" customHeight="1" x14ac:dyDescent="0.35">
      <c r="A130" s="245"/>
      <c r="B130" s="320" t="s">
        <v>71</v>
      </c>
      <c r="C130" s="321" t="s">
        <v>52</v>
      </c>
      <c r="D130" s="249">
        <v>4</v>
      </c>
    </row>
    <row r="131" spans="1:4" s="234" customFormat="1" ht="17.5" customHeight="1" x14ac:dyDescent="0.35">
      <c r="A131" s="245"/>
      <c r="B131" s="320"/>
      <c r="C131" s="322"/>
      <c r="D131" s="250"/>
    </row>
    <row r="132" spans="1:4" s="234" customFormat="1" ht="17.5" customHeight="1" x14ac:dyDescent="0.35">
      <c r="A132" s="245"/>
      <c r="B132" s="320"/>
      <c r="C132" s="322"/>
      <c r="D132" s="250"/>
    </row>
    <row r="133" spans="1:4" s="234" customFormat="1" ht="17.5" customHeight="1" x14ac:dyDescent="0.35">
      <c r="A133" s="245"/>
      <c r="B133" s="320"/>
      <c r="C133" s="323"/>
      <c r="D133" s="251"/>
    </row>
    <row r="134" spans="1:4" s="234" customFormat="1" ht="17.5" hidden="1" customHeight="1" x14ac:dyDescent="0.35">
      <c r="A134" s="245"/>
      <c r="B134" s="158" t="s">
        <v>121</v>
      </c>
      <c r="C134" s="158" t="s">
        <v>92</v>
      </c>
      <c r="D134" s="158">
        <v>1</v>
      </c>
    </row>
    <row r="135" spans="1:4" s="234" customFormat="1" ht="17.5" hidden="1" customHeight="1" x14ac:dyDescent="0.35">
      <c r="A135" s="245"/>
      <c r="B135" s="158" t="s">
        <v>39</v>
      </c>
      <c r="C135" s="158" t="s">
        <v>67</v>
      </c>
      <c r="D135" s="158">
        <v>1</v>
      </c>
    </row>
    <row r="136" spans="1:4" s="234" customFormat="1" ht="17.5" hidden="1" customHeight="1" x14ac:dyDescent="0.35">
      <c r="A136" s="245"/>
      <c r="B136" s="258" t="s">
        <v>60</v>
      </c>
      <c r="C136" s="259"/>
      <c r="D136" s="141">
        <v>0</v>
      </c>
    </row>
    <row r="137" spans="1:4" s="234" customFormat="1" ht="17.5" customHeight="1" x14ac:dyDescent="0.35">
      <c r="A137" s="102"/>
      <c r="B137" s="101"/>
      <c r="C137" s="101"/>
      <c r="D137" s="101"/>
    </row>
    <row r="138" spans="1:4" s="234" customFormat="1" ht="17.5" customHeight="1" x14ac:dyDescent="0.35">
      <c r="A138" s="318" t="s">
        <v>178</v>
      </c>
      <c r="B138" s="51" t="s">
        <v>96</v>
      </c>
      <c r="C138" s="51" t="s">
        <v>180</v>
      </c>
      <c r="D138" s="51">
        <v>1</v>
      </c>
    </row>
    <row r="139" spans="1:4" s="234" customFormat="1" ht="17.5" customHeight="1" x14ac:dyDescent="0.35">
      <c r="A139" s="318"/>
      <c r="B139" s="51" t="s">
        <v>39</v>
      </c>
      <c r="C139" s="51" t="s">
        <v>58</v>
      </c>
      <c r="D139" s="51">
        <v>1</v>
      </c>
    </row>
    <row r="140" spans="1:4" s="234" customFormat="1" ht="17.5" customHeight="1" x14ac:dyDescent="0.35">
      <c r="A140" s="318"/>
      <c r="B140" s="51" t="s">
        <v>81</v>
      </c>
      <c r="C140" s="51" t="s">
        <v>53</v>
      </c>
      <c r="D140" s="51">
        <v>1</v>
      </c>
    </row>
    <row r="141" spans="1:4" s="234" customFormat="1" ht="17.5" hidden="1" customHeight="1" x14ac:dyDescent="0.35">
      <c r="A141" s="318"/>
      <c r="B141" s="51" t="s">
        <v>39</v>
      </c>
      <c r="C141" s="51" t="s">
        <v>40</v>
      </c>
      <c r="D141" s="51">
        <v>1</v>
      </c>
    </row>
    <row r="142" spans="1:4" s="234" customFormat="1" ht="17.5" hidden="1" customHeight="1" x14ac:dyDescent="0.35">
      <c r="A142" s="318"/>
      <c r="B142" s="258" t="s">
        <v>60</v>
      </c>
      <c r="C142" s="259"/>
      <c r="D142" s="141">
        <f>SUM(D141)</f>
        <v>1</v>
      </c>
    </row>
    <row r="143" spans="1:4" s="234" customFormat="1" ht="17.5" customHeight="1" x14ac:dyDescent="0.35">
      <c r="A143" s="102"/>
      <c r="B143" s="101"/>
      <c r="C143" s="101"/>
      <c r="D143" s="101"/>
    </row>
    <row r="144" spans="1:4" s="234" customFormat="1" ht="17.5" customHeight="1" x14ac:dyDescent="0.35">
      <c r="A144" s="318" t="s">
        <v>184</v>
      </c>
      <c r="B144" s="51" t="s">
        <v>114</v>
      </c>
      <c r="C144" s="51" t="s">
        <v>108</v>
      </c>
      <c r="D144" s="51">
        <v>1</v>
      </c>
    </row>
    <row r="145" spans="1:4" s="234" customFormat="1" ht="17.5" customHeight="1" x14ac:dyDescent="0.35">
      <c r="A145" s="318"/>
      <c r="B145" s="51" t="s">
        <v>71</v>
      </c>
      <c r="C145" s="51" t="s">
        <v>58</v>
      </c>
      <c r="D145" s="51">
        <v>1</v>
      </c>
    </row>
    <row r="146" spans="1:4" s="234" customFormat="1" ht="17.5" customHeight="1" x14ac:dyDescent="0.35">
      <c r="A146" s="318"/>
      <c r="B146" s="51" t="s">
        <v>81</v>
      </c>
      <c r="C146" s="51" t="s">
        <v>53</v>
      </c>
      <c r="D146" s="51">
        <v>1</v>
      </c>
    </row>
    <row r="147" spans="1:4" s="234" customFormat="1" ht="17.5" hidden="1" customHeight="1" x14ac:dyDescent="0.35">
      <c r="A147" s="318"/>
      <c r="B147" s="51" t="s">
        <v>39</v>
      </c>
      <c r="C147" s="51" t="s">
        <v>52</v>
      </c>
      <c r="D147" s="51">
        <v>1</v>
      </c>
    </row>
    <row r="148" spans="1:4" s="234" customFormat="1" ht="17.5" hidden="1" customHeight="1" x14ac:dyDescent="0.35">
      <c r="A148" s="318"/>
      <c r="B148" s="258" t="s">
        <v>60</v>
      </c>
      <c r="C148" s="259"/>
      <c r="D148" s="141">
        <f xml:space="preserve"> D147</f>
        <v>1</v>
      </c>
    </row>
    <row r="149" spans="1:4" s="234" customFormat="1" ht="17.5" customHeight="1" x14ac:dyDescent="0.35">
      <c r="A149" s="102"/>
      <c r="B149" s="101"/>
      <c r="C149" s="101"/>
      <c r="D149" s="101"/>
    </row>
    <row r="150" spans="1:4" s="234" customFormat="1" ht="17.5" customHeight="1" x14ac:dyDescent="0.35">
      <c r="A150" s="332" t="s">
        <v>190</v>
      </c>
      <c r="B150" s="166" t="s">
        <v>191</v>
      </c>
      <c r="C150" s="138" t="s">
        <v>71</v>
      </c>
      <c r="D150" s="138">
        <v>1</v>
      </c>
    </row>
    <row r="151" spans="1:4" s="234" customFormat="1" ht="17.5" customHeight="1" x14ac:dyDescent="0.35">
      <c r="A151" s="333"/>
      <c r="B151" s="152" t="s">
        <v>71</v>
      </c>
      <c r="C151" s="51" t="s">
        <v>58</v>
      </c>
      <c r="D151" s="51">
        <v>1</v>
      </c>
    </row>
    <row r="152" spans="1:4" s="234" customFormat="1" ht="17.5" customHeight="1" x14ac:dyDescent="0.35">
      <c r="A152" s="333"/>
      <c r="B152" s="152" t="s">
        <v>74</v>
      </c>
      <c r="C152" s="51" t="s">
        <v>75</v>
      </c>
      <c r="D152" s="51">
        <v>1</v>
      </c>
    </row>
    <row r="153" spans="1:4" s="234" customFormat="1" ht="17.5" customHeight="1" x14ac:dyDescent="0.35">
      <c r="A153" s="102"/>
      <c r="B153" s="101"/>
      <c r="C153" s="101"/>
      <c r="D153" s="101"/>
    </row>
    <row r="154" spans="1:4" s="234" customFormat="1" ht="17.5" customHeight="1" x14ac:dyDescent="0.35">
      <c r="A154" s="52" t="s">
        <v>194</v>
      </c>
      <c r="B154" s="51" t="s">
        <v>71</v>
      </c>
      <c r="C154" s="51" t="s">
        <v>52</v>
      </c>
      <c r="D154" s="51">
        <v>1</v>
      </c>
    </row>
    <row r="155" spans="1:4" s="234" customFormat="1" ht="17.5" customHeight="1" x14ac:dyDescent="0.35">
      <c r="A155" s="102"/>
      <c r="B155" s="101"/>
      <c r="C155" s="101"/>
      <c r="D155" s="101"/>
    </row>
    <row r="156" spans="1:4" s="234" customFormat="1" ht="17.5" customHeight="1" x14ac:dyDescent="0.35">
      <c r="A156" s="236" t="s">
        <v>196</v>
      </c>
      <c r="B156" s="51" t="s">
        <v>153</v>
      </c>
      <c r="C156" s="51" t="s">
        <v>53</v>
      </c>
      <c r="D156" s="51">
        <v>1</v>
      </c>
    </row>
    <row r="157" spans="1:4" s="234" customFormat="1" ht="17.5" customHeight="1" x14ac:dyDescent="0.35">
      <c r="A157" s="102"/>
      <c r="B157" s="101"/>
      <c r="C157" s="101"/>
      <c r="D157" s="101"/>
    </row>
    <row r="158" spans="1:4" s="234" customFormat="1" ht="17.5" customHeight="1" x14ac:dyDescent="0.35">
      <c r="A158" s="329" t="s">
        <v>198</v>
      </c>
      <c r="B158" s="135" t="s">
        <v>39</v>
      </c>
      <c r="C158" s="135" t="s">
        <v>67</v>
      </c>
      <c r="D158" s="135">
        <v>1</v>
      </c>
    </row>
    <row r="159" spans="1:4" s="234" customFormat="1" ht="17.5" customHeight="1" x14ac:dyDescent="0.35">
      <c r="A159" s="329"/>
      <c r="B159" s="51" t="s">
        <v>67</v>
      </c>
      <c r="C159" s="51" t="s">
        <v>83</v>
      </c>
      <c r="D159" s="51">
        <v>1</v>
      </c>
    </row>
    <row r="160" spans="1:4" s="234" customFormat="1" ht="17.5" hidden="1" customHeight="1" x14ac:dyDescent="0.35">
      <c r="A160" s="329"/>
      <c r="B160" s="51" t="s">
        <v>39</v>
      </c>
      <c r="C160" s="51" t="s">
        <v>153</v>
      </c>
      <c r="D160" s="51">
        <v>1</v>
      </c>
    </row>
    <row r="161" spans="1:4" s="234" customFormat="1" ht="17.5" hidden="1" customHeight="1" x14ac:dyDescent="0.35">
      <c r="A161" s="329"/>
      <c r="B161" s="258" t="s">
        <v>60</v>
      </c>
      <c r="C161" s="259"/>
      <c r="D161" s="141">
        <f>SUM(D160)</f>
        <v>1</v>
      </c>
    </row>
    <row r="162" spans="1:4" s="234" customFormat="1" ht="17.5" customHeight="1" x14ac:dyDescent="0.35">
      <c r="A162" s="102"/>
      <c r="B162" s="101"/>
      <c r="C162" s="101"/>
      <c r="D162" s="101"/>
    </row>
    <row r="163" spans="1:4" s="234" customFormat="1" ht="17.5" customHeight="1" x14ac:dyDescent="0.35">
      <c r="A163" s="329" t="s">
        <v>203</v>
      </c>
      <c r="B163" s="138" t="s">
        <v>114</v>
      </c>
      <c r="C163" s="138" t="s">
        <v>204</v>
      </c>
      <c r="D163" s="138">
        <v>1</v>
      </c>
    </row>
    <row r="164" spans="1:4" s="234" customFormat="1" ht="17.5" customHeight="1" x14ac:dyDescent="0.35">
      <c r="A164" s="329"/>
      <c r="B164" s="138" t="s">
        <v>71</v>
      </c>
      <c r="C164" s="138" t="s">
        <v>75</v>
      </c>
      <c r="D164" s="138">
        <v>1</v>
      </c>
    </row>
    <row r="165" spans="1:4" s="234" customFormat="1" ht="17.5" customHeight="1" x14ac:dyDescent="0.35">
      <c r="A165" s="102"/>
      <c r="B165" s="101"/>
      <c r="C165" s="101"/>
      <c r="D165" s="101"/>
    </row>
    <row r="166" spans="1:4" s="234" customFormat="1" ht="17.5" customHeight="1" x14ac:dyDescent="0.35">
      <c r="A166" s="329" t="s">
        <v>207</v>
      </c>
      <c r="B166" s="51" t="s">
        <v>121</v>
      </c>
      <c r="C166" s="51" t="s">
        <v>108</v>
      </c>
      <c r="D166" s="51">
        <v>1</v>
      </c>
    </row>
    <row r="167" spans="1:4" s="234" customFormat="1" ht="17.5" customHeight="1" x14ac:dyDescent="0.35">
      <c r="A167" s="329"/>
      <c r="B167" s="51" t="s">
        <v>40</v>
      </c>
      <c r="C167" s="51" t="s">
        <v>52</v>
      </c>
      <c r="D167" s="51">
        <v>1</v>
      </c>
    </row>
    <row r="168" spans="1:4" s="234" customFormat="1" ht="17.5" customHeight="1" x14ac:dyDescent="0.35">
      <c r="A168" s="329"/>
      <c r="B168" s="51" t="s">
        <v>67</v>
      </c>
      <c r="C168" s="51" t="s">
        <v>75</v>
      </c>
      <c r="D168" s="51">
        <v>1</v>
      </c>
    </row>
    <row r="169" spans="1:4" s="234" customFormat="1" ht="17.5" customHeight="1" x14ac:dyDescent="0.35">
      <c r="A169" s="102"/>
      <c r="B169" s="101"/>
      <c r="C169" s="101"/>
      <c r="D169" s="101"/>
    </row>
    <row r="170" spans="1:4" s="234" customFormat="1" ht="17.5" customHeight="1" x14ac:dyDescent="0.35">
      <c r="A170" s="329" t="s">
        <v>210</v>
      </c>
      <c r="B170" s="289" t="s">
        <v>39</v>
      </c>
      <c r="C170" s="292" t="s">
        <v>58</v>
      </c>
      <c r="D170" s="341">
        <v>2</v>
      </c>
    </row>
    <row r="171" spans="1:4" s="234" customFormat="1" ht="17.5" customHeight="1" x14ac:dyDescent="0.35">
      <c r="A171" s="329"/>
      <c r="B171" s="291"/>
      <c r="C171" s="294"/>
      <c r="D171" s="342"/>
    </row>
    <row r="172" spans="1:4" s="234" customFormat="1" ht="17.5" hidden="1" customHeight="1" x14ac:dyDescent="0.35">
      <c r="A172" s="329"/>
      <c r="B172" s="343" t="s">
        <v>39</v>
      </c>
      <c r="C172" s="321" t="s">
        <v>40</v>
      </c>
      <c r="D172" s="345">
        <v>2</v>
      </c>
    </row>
    <row r="173" spans="1:4" s="234" customFormat="1" ht="17.5" hidden="1" customHeight="1" x14ac:dyDescent="0.35">
      <c r="A173" s="329"/>
      <c r="B173" s="344"/>
      <c r="C173" s="323"/>
      <c r="D173" s="346"/>
    </row>
    <row r="174" spans="1:4" s="234" customFormat="1" ht="17.5" hidden="1" customHeight="1" x14ac:dyDescent="0.35">
      <c r="A174" s="329"/>
      <c r="B174" s="258" t="s">
        <v>60</v>
      </c>
      <c r="C174" s="259"/>
      <c r="D174" s="141">
        <f xml:space="preserve"> D172</f>
        <v>2</v>
      </c>
    </row>
    <row r="175" spans="1:4" s="234" customFormat="1" ht="17.5" customHeight="1" x14ac:dyDescent="0.35">
      <c r="A175" s="102"/>
      <c r="B175" s="101"/>
      <c r="C175" s="101"/>
      <c r="D175" s="101"/>
    </row>
    <row r="176" spans="1:4" s="234" customFormat="1" x14ac:dyDescent="0.35">
      <c r="A176" s="329" t="s">
        <v>213</v>
      </c>
      <c r="B176" s="138" t="s">
        <v>214</v>
      </c>
      <c r="C176" s="169" t="s">
        <v>58</v>
      </c>
      <c r="D176" s="138">
        <v>1</v>
      </c>
    </row>
    <row r="177" spans="1:4" s="234" customFormat="1" ht="17.5" customHeight="1" x14ac:dyDescent="0.35">
      <c r="A177" s="329"/>
      <c r="B177" s="138" t="s">
        <v>214</v>
      </c>
      <c r="C177" s="138" t="s">
        <v>92</v>
      </c>
      <c r="D177" s="138">
        <v>1</v>
      </c>
    </row>
    <row r="178" spans="1:4" s="234" customFormat="1" ht="17.5" customHeight="1" x14ac:dyDescent="0.35">
      <c r="A178" s="329"/>
      <c r="B178" s="51" t="s">
        <v>92</v>
      </c>
      <c r="C178" s="169" t="s">
        <v>67</v>
      </c>
      <c r="D178" s="51">
        <v>1</v>
      </c>
    </row>
    <row r="179" spans="1:4" s="234" customFormat="1" ht="17.5" hidden="1" customHeight="1" x14ac:dyDescent="0.35">
      <c r="A179" s="355"/>
      <c r="B179" s="355"/>
      <c r="C179" s="355"/>
      <c r="D179" s="355"/>
    </row>
    <row r="180" spans="1:4" s="234" customFormat="1" ht="17.5" hidden="1" customHeight="1" x14ac:dyDescent="0.35">
      <c r="A180" s="245" t="s">
        <v>217</v>
      </c>
      <c r="B180" s="138" t="s">
        <v>121</v>
      </c>
      <c r="C180" s="138" t="s">
        <v>39</v>
      </c>
      <c r="D180" s="138" t="s">
        <v>218</v>
      </c>
    </row>
    <row r="181" spans="1:4" s="234" customFormat="1" ht="17.5" hidden="1" customHeight="1" x14ac:dyDescent="0.35">
      <c r="A181" s="245"/>
      <c r="B181" s="138" t="s">
        <v>39</v>
      </c>
      <c r="C181" s="138" t="s">
        <v>71</v>
      </c>
      <c r="D181" s="138" t="s">
        <v>218</v>
      </c>
    </row>
    <row r="182" spans="1:4" s="234" customFormat="1" ht="17.5" hidden="1" customHeight="1" x14ac:dyDescent="0.35">
      <c r="A182" s="245"/>
      <c r="B182" s="349" t="s">
        <v>219</v>
      </c>
      <c r="C182" s="349"/>
      <c r="D182" s="141">
        <f>SUM(D180:D181)</f>
        <v>0</v>
      </c>
    </row>
    <row r="183" spans="1:4" s="234" customFormat="1" ht="17.5" customHeight="1" x14ac:dyDescent="0.35">
      <c r="A183" s="355"/>
      <c r="B183" s="355"/>
      <c r="C183" s="355"/>
      <c r="D183" s="355"/>
    </row>
    <row r="184" spans="1:4" s="234" customFormat="1" ht="17.5" customHeight="1" x14ac:dyDescent="0.35">
      <c r="A184" s="245" t="s">
        <v>220</v>
      </c>
      <c r="B184" s="51" t="s">
        <v>121</v>
      </c>
      <c r="C184" s="51" t="s">
        <v>39</v>
      </c>
      <c r="D184" s="51">
        <v>1</v>
      </c>
    </row>
    <row r="185" spans="1:4" s="234" customFormat="1" ht="17.5" customHeight="1" x14ac:dyDescent="0.35">
      <c r="A185" s="245"/>
      <c r="B185" s="51" t="s">
        <v>121</v>
      </c>
      <c r="C185" s="51" t="s">
        <v>153</v>
      </c>
      <c r="D185" s="51">
        <v>1</v>
      </c>
    </row>
    <row r="186" spans="1:4" s="234" customFormat="1" ht="17.5" customHeight="1" x14ac:dyDescent="0.35">
      <c r="A186" s="245"/>
      <c r="B186" s="51" t="s">
        <v>40</v>
      </c>
      <c r="C186" s="51" t="s">
        <v>92</v>
      </c>
      <c r="D186" s="51">
        <v>1</v>
      </c>
    </row>
    <row r="187" spans="1:4" s="234" customFormat="1" ht="17.5" customHeight="1" x14ac:dyDescent="0.35">
      <c r="A187" s="245"/>
      <c r="B187" s="51" t="s">
        <v>58</v>
      </c>
      <c r="C187" s="51" t="s">
        <v>223</v>
      </c>
      <c r="D187" s="51">
        <v>1</v>
      </c>
    </row>
    <row r="188" spans="1:4" s="234" customFormat="1" ht="17.5" customHeight="1" x14ac:dyDescent="0.35">
      <c r="A188" s="245"/>
      <c r="B188" s="51" t="s">
        <v>53</v>
      </c>
      <c r="C188" s="51" t="s">
        <v>83</v>
      </c>
      <c r="D188" s="51">
        <v>1</v>
      </c>
    </row>
    <row r="189" spans="1:4" s="234" customFormat="1" ht="17.5" customHeight="1" x14ac:dyDescent="0.35">
      <c r="A189" s="102"/>
      <c r="B189" s="101"/>
      <c r="C189" s="101"/>
      <c r="D189" s="101"/>
    </row>
    <row r="190" spans="1:4" s="234" customFormat="1" ht="17.5" customHeight="1" x14ac:dyDescent="0.35">
      <c r="A190" s="236" t="s">
        <v>225</v>
      </c>
      <c r="B190" s="51" t="s">
        <v>71</v>
      </c>
      <c r="C190" s="51" t="s">
        <v>58</v>
      </c>
      <c r="D190" s="51">
        <v>1</v>
      </c>
    </row>
    <row r="191" spans="1:4" s="234" customFormat="1" ht="17.5" customHeight="1" x14ac:dyDescent="0.35">
      <c r="A191" s="102"/>
      <c r="B191" s="101"/>
      <c r="C191" s="101"/>
      <c r="D191" s="101"/>
    </row>
    <row r="192" spans="1:4" s="234" customFormat="1" ht="17.5" customHeight="1" x14ac:dyDescent="0.35">
      <c r="A192" s="236" t="s">
        <v>227</v>
      </c>
      <c r="B192" s="138" t="s">
        <v>228</v>
      </c>
      <c r="C192" s="138" t="s">
        <v>58</v>
      </c>
      <c r="D192" s="138">
        <v>1</v>
      </c>
    </row>
    <row r="193" spans="1:4" s="234" customFormat="1" ht="17.5" customHeight="1" x14ac:dyDescent="0.35">
      <c r="A193" s="102"/>
      <c r="B193" s="101"/>
      <c r="C193" s="101"/>
      <c r="D193" s="101"/>
    </row>
    <row r="194" spans="1:4" s="234" customFormat="1" ht="17.5" customHeight="1" x14ac:dyDescent="0.35">
      <c r="A194" s="350" t="s">
        <v>230</v>
      </c>
      <c r="B194" s="51" t="s">
        <v>121</v>
      </c>
      <c r="C194" s="51" t="s">
        <v>92</v>
      </c>
      <c r="D194" s="51">
        <v>1</v>
      </c>
    </row>
    <row r="195" spans="1:4" s="234" customFormat="1" ht="17.5" customHeight="1" x14ac:dyDescent="0.35">
      <c r="A195" s="351"/>
      <c r="B195" s="135" t="s">
        <v>39</v>
      </c>
      <c r="C195" s="135" t="s">
        <v>67</v>
      </c>
      <c r="D195" s="135">
        <v>1</v>
      </c>
    </row>
    <row r="196" spans="1:4" s="234" customFormat="1" ht="17.5" customHeight="1" x14ac:dyDescent="0.35">
      <c r="A196" s="351"/>
      <c r="B196" s="51" t="s">
        <v>52</v>
      </c>
      <c r="C196" s="51" t="s">
        <v>83</v>
      </c>
      <c r="D196" s="51">
        <v>1</v>
      </c>
    </row>
    <row r="197" spans="1:4" s="234" customFormat="1" ht="17.5" hidden="1" customHeight="1" x14ac:dyDescent="0.35">
      <c r="A197" s="351"/>
      <c r="B197" s="135" t="s">
        <v>121</v>
      </c>
      <c r="C197" s="135" t="s">
        <v>235</v>
      </c>
      <c r="D197" s="135">
        <v>1</v>
      </c>
    </row>
    <row r="198" spans="1:4" s="234" customFormat="1" ht="17.5" hidden="1" customHeight="1" x14ac:dyDescent="0.35">
      <c r="A198" s="351"/>
      <c r="B198" s="135" t="s">
        <v>39</v>
      </c>
      <c r="C198" s="135" t="s">
        <v>67</v>
      </c>
      <c r="D198" s="135">
        <v>1</v>
      </c>
    </row>
    <row r="199" spans="1:4" s="234" customFormat="1" ht="17.5" hidden="1" customHeight="1" x14ac:dyDescent="0.35">
      <c r="A199" s="351"/>
      <c r="B199" s="51" t="s">
        <v>52</v>
      </c>
      <c r="C199" s="51" t="s">
        <v>83</v>
      </c>
      <c r="D199" s="51">
        <v>1</v>
      </c>
    </row>
    <row r="200" spans="1:4" s="234" customFormat="1" ht="17.5" hidden="1" customHeight="1" x14ac:dyDescent="0.35">
      <c r="A200" s="352"/>
      <c r="B200" s="258" t="s">
        <v>237</v>
      </c>
      <c r="C200" s="259"/>
      <c r="D200" s="141">
        <f>SUM(D197:D199)</f>
        <v>3</v>
      </c>
    </row>
    <row r="201" spans="1:4" s="234" customFormat="1" ht="17.5" customHeight="1" x14ac:dyDescent="0.35">
      <c r="A201" s="102"/>
      <c r="B201" s="101"/>
      <c r="C201" s="101"/>
      <c r="D201" s="101"/>
    </row>
    <row r="202" spans="1:4" s="234" customFormat="1" ht="17.5" customHeight="1" x14ac:dyDescent="0.35">
      <c r="A202" s="350" t="s">
        <v>238</v>
      </c>
      <c r="B202" s="51" t="s">
        <v>121</v>
      </c>
      <c r="C202" s="51" t="s">
        <v>92</v>
      </c>
      <c r="D202" s="51">
        <v>1</v>
      </c>
    </row>
    <row r="203" spans="1:4" s="234" customFormat="1" ht="17.5" customHeight="1" x14ac:dyDescent="0.35">
      <c r="A203" s="351"/>
      <c r="B203" s="135" t="s">
        <v>71</v>
      </c>
      <c r="C203" s="135" t="s">
        <v>58</v>
      </c>
      <c r="D203" s="135">
        <v>1</v>
      </c>
    </row>
    <row r="204" spans="1:4" s="234" customFormat="1" ht="17.5" customHeight="1" x14ac:dyDescent="0.35">
      <c r="A204" s="351"/>
      <c r="B204" s="135" t="s">
        <v>52</v>
      </c>
      <c r="C204" s="135" t="s">
        <v>83</v>
      </c>
      <c r="D204" s="135">
        <v>1</v>
      </c>
    </row>
    <row r="205" spans="1:4" s="234" customFormat="1" ht="17.5" hidden="1" customHeight="1" x14ac:dyDescent="0.35">
      <c r="A205" s="351"/>
      <c r="B205" s="135" t="s">
        <v>121</v>
      </c>
      <c r="C205" s="135" t="s">
        <v>40</v>
      </c>
      <c r="D205" s="135">
        <v>1</v>
      </c>
    </row>
    <row r="206" spans="1:4" s="234" customFormat="1" ht="17.5" hidden="1" customHeight="1" x14ac:dyDescent="0.35">
      <c r="A206" s="351"/>
      <c r="B206" s="135" t="s">
        <v>71</v>
      </c>
      <c r="C206" s="135" t="s">
        <v>58</v>
      </c>
      <c r="D206" s="135">
        <v>1</v>
      </c>
    </row>
    <row r="207" spans="1:4" s="234" customFormat="1" ht="17.5" hidden="1" customHeight="1" x14ac:dyDescent="0.35">
      <c r="A207" s="351"/>
      <c r="B207" s="51" t="s">
        <v>52</v>
      </c>
      <c r="C207" s="51" t="s">
        <v>83</v>
      </c>
      <c r="D207" s="51">
        <v>1</v>
      </c>
    </row>
    <row r="208" spans="1:4" s="234" customFormat="1" ht="17.5" hidden="1" customHeight="1" x14ac:dyDescent="0.35">
      <c r="A208" s="352"/>
      <c r="B208" s="258" t="s">
        <v>237</v>
      </c>
      <c r="C208" s="259"/>
      <c r="D208" s="141">
        <f>SUM(D205:D207)</f>
        <v>3</v>
      </c>
    </row>
    <row r="209" spans="1:4" s="234" customFormat="1" ht="17.5" customHeight="1" x14ac:dyDescent="0.35">
      <c r="A209" s="102"/>
      <c r="B209" s="101"/>
      <c r="C209" s="101"/>
      <c r="D209" s="101"/>
    </row>
    <row r="210" spans="1:4" s="234" customFormat="1" ht="17.5" customHeight="1" x14ac:dyDescent="0.35">
      <c r="A210" s="329" t="s">
        <v>242</v>
      </c>
      <c r="B210" s="278" t="s">
        <v>96</v>
      </c>
      <c r="C210" s="278" t="s">
        <v>204</v>
      </c>
      <c r="D210" s="278">
        <v>2</v>
      </c>
    </row>
    <row r="211" spans="1:4" s="234" customFormat="1" ht="17.5" customHeight="1" x14ac:dyDescent="0.35">
      <c r="A211" s="329"/>
      <c r="B211" s="280"/>
      <c r="C211" s="280"/>
      <c r="D211" s="280"/>
    </row>
    <row r="212" spans="1:4" s="234" customFormat="1" ht="17.5" customHeight="1" x14ac:dyDescent="0.35">
      <c r="A212" s="329"/>
      <c r="B212" s="278" t="s">
        <v>39</v>
      </c>
      <c r="C212" s="278" t="s">
        <v>40</v>
      </c>
      <c r="D212" s="278">
        <v>2</v>
      </c>
    </row>
    <row r="213" spans="1:4" s="234" customFormat="1" ht="17.5" customHeight="1" x14ac:dyDescent="0.35">
      <c r="A213" s="329"/>
      <c r="B213" s="280"/>
      <c r="C213" s="280"/>
      <c r="D213" s="280"/>
    </row>
    <row r="214" spans="1:4" s="234" customFormat="1" ht="17.5" customHeight="1" x14ac:dyDescent="0.35">
      <c r="A214" s="329"/>
      <c r="B214" s="51" t="s">
        <v>39</v>
      </c>
      <c r="C214" s="51" t="s">
        <v>67</v>
      </c>
      <c r="D214" s="51">
        <v>1</v>
      </c>
    </row>
    <row r="215" spans="1:4" s="234" customFormat="1" ht="17.5" customHeight="1" x14ac:dyDescent="0.35">
      <c r="A215" s="329"/>
      <c r="B215" s="51" t="s">
        <v>39</v>
      </c>
      <c r="C215" s="51" t="s">
        <v>75</v>
      </c>
      <c r="D215" s="51">
        <v>1</v>
      </c>
    </row>
    <row r="216" spans="1:4" s="234" customFormat="1" ht="17.5" customHeight="1" x14ac:dyDescent="0.35">
      <c r="A216" s="329"/>
      <c r="B216" s="51" t="s">
        <v>75</v>
      </c>
      <c r="C216" s="51" t="s">
        <v>83</v>
      </c>
      <c r="D216" s="51">
        <v>1</v>
      </c>
    </row>
    <row r="217" spans="1:4" s="234" customFormat="1" ht="17.25" hidden="1" customHeight="1" x14ac:dyDescent="0.35">
      <c r="A217" s="329"/>
      <c r="B217" s="51" t="s">
        <v>39</v>
      </c>
      <c r="C217" s="51" t="s">
        <v>67</v>
      </c>
      <c r="D217" s="51">
        <v>1</v>
      </c>
    </row>
    <row r="218" spans="1:4" s="234" customFormat="1" ht="17.5" hidden="1" customHeight="1" x14ac:dyDescent="0.35">
      <c r="A218" s="329"/>
      <c r="B218" s="278" t="s">
        <v>39</v>
      </c>
      <c r="C218" s="278" t="s">
        <v>40</v>
      </c>
      <c r="D218" s="278">
        <v>2</v>
      </c>
    </row>
    <row r="219" spans="1:4" s="234" customFormat="1" ht="17.5" hidden="1" customHeight="1" x14ac:dyDescent="0.35">
      <c r="A219" s="329"/>
      <c r="B219" s="280"/>
      <c r="C219" s="280"/>
      <c r="D219" s="280"/>
    </row>
    <row r="220" spans="1:4" s="234" customFormat="1" ht="17.5" hidden="1" customHeight="1" x14ac:dyDescent="0.35">
      <c r="A220" s="329"/>
      <c r="B220" s="51" t="s">
        <v>71</v>
      </c>
      <c r="C220" s="51" t="s">
        <v>52</v>
      </c>
      <c r="D220" s="51">
        <v>1</v>
      </c>
    </row>
    <row r="221" spans="1:4" s="234" customFormat="1" ht="17.5" hidden="1" customHeight="1" x14ac:dyDescent="0.35">
      <c r="A221" s="329"/>
      <c r="B221" s="51" t="s">
        <v>71</v>
      </c>
      <c r="C221" s="51" t="s">
        <v>58</v>
      </c>
      <c r="D221" s="51">
        <v>1</v>
      </c>
    </row>
    <row r="222" spans="1:4" s="234" customFormat="1" ht="17.5" hidden="1" customHeight="1" x14ac:dyDescent="0.35">
      <c r="A222" s="329"/>
      <c r="B222" s="51" t="s">
        <v>74</v>
      </c>
      <c r="C222" s="51" t="s">
        <v>75</v>
      </c>
      <c r="D222" s="51">
        <v>1</v>
      </c>
    </row>
    <row r="223" spans="1:4" s="234" customFormat="1" ht="17.5" hidden="1" customHeight="1" x14ac:dyDescent="0.35">
      <c r="A223" s="329"/>
      <c r="B223" s="258" t="s">
        <v>60</v>
      </c>
      <c r="C223" s="259"/>
      <c r="D223" s="141">
        <f>SUM(D217:D222)</f>
        <v>6</v>
      </c>
    </row>
    <row r="224" spans="1:4" s="234" customFormat="1" ht="17.5" hidden="1" customHeight="1" x14ac:dyDescent="0.35">
      <c r="A224" s="329"/>
      <c r="B224" s="51" t="s">
        <v>71</v>
      </c>
      <c r="C224" s="51" t="s">
        <v>58</v>
      </c>
      <c r="D224" s="51">
        <v>1</v>
      </c>
    </row>
    <row r="225" spans="1:4" s="234" customFormat="1" ht="17.5" hidden="1" customHeight="1" x14ac:dyDescent="0.35">
      <c r="A225" s="329"/>
      <c r="B225" s="51" t="s">
        <v>52</v>
      </c>
      <c r="C225" s="51" t="s">
        <v>83</v>
      </c>
      <c r="D225" s="51">
        <v>1</v>
      </c>
    </row>
    <row r="226" spans="1:4" s="234" customFormat="1" ht="17.5" hidden="1" customHeight="1" x14ac:dyDescent="0.35">
      <c r="A226" s="329"/>
      <c r="B226" s="258" t="s">
        <v>143</v>
      </c>
      <c r="C226" s="259"/>
      <c r="D226" s="141">
        <f>SUM(D224:D225)</f>
        <v>2</v>
      </c>
    </row>
    <row r="227" spans="1:4" s="234" customFormat="1" ht="17.5" customHeight="1" x14ac:dyDescent="0.35">
      <c r="A227" s="102"/>
      <c r="B227" s="101"/>
      <c r="C227" s="101"/>
      <c r="D227" s="101"/>
    </row>
    <row r="228" spans="1:4" s="234" customFormat="1" ht="17.5" customHeight="1" x14ac:dyDescent="0.35">
      <c r="A228" s="329" t="s">
        <v>251</v>
      </c>
      <c r="B228" s="51" t="s">
        <v>121</v>
      </c>
      <c r="C228" s="51" t="s">
        <v>92</v>
      </c>
      <c r="D228" s="51">
        <v>1</v>
      </c>
    </row>
    <row r="229" spans="1:4" s="234" customFormat="1" ht="17.5" customHeight="1" x14ac:dyDescent="0.35">
      <c r="A229" s="329"/>
      <c r="B229" s="51" t="s">
        <v>40</v>
      </c>
      <c r="C229" s="51" t="s">
        <v>223</v>
      </c>
      <c r="D229" s="154">
        <v>1</v>
      </c>
    </row>
    <row r="230" spans="1:4" s="234" customFormat="1" ht="17.5" customHeight="1" x14ac:dyDescent="0.35">
      <c r="A230" s="102"/>
      <c r="B230" s="101"/>
      <c r="C230" s="101"/>
      <c r="D230" s="101"/>
    </row>
    <row r="231" spans="1:4" s="234" customFormat="1" ht="17.5" customHeight="1" x14ac:dyDescent="0.35">
      <c r="A231" s="373" t="s">
        <v>254</v>
      </c>
      <c r="B231" s="289" t="s">
        <v>39</v>
      </c>
      <c r="C231" s="292" t="s">
        <v>58</v>
      </c>
      <c r="D231" s="278">
        <v>3</v>
      </c>
    </row>
    <row r="232" spans="1:4" s="234" customFormat="1" ht="17.5" customHeight="1" x14ac:dyDescent="0.35">
      <c r="A232" s="373"/>
      <c r="B232" s="290"/>
      <c r="C232" s="293"/>
      <c r="D232" s="279"/>
    </row>
    <row r="233" spans="1:4" s="234" customFormat="1" ht="17.5" customHeight="1" x14ac:dyDescent="0.35">
      <c r="A233" s="373"/>
      <c r="B233" s="291"/>
      <c r="C233" s="294"/>
      <c r="D233" s="280"/>
    </row>
    <row r="234" spans="1:4" s="234" customFormat="1" ht="17.5" customHeight="1" x14ac:dyDescent="0.35">
      <c r="A234" s="129"/>
      <c r="B234" s="101"/>
      <c r="C234" s="101"/>
      <c r="D234" s="101"/>
    </row>
    <row r="235" spans="1:4" s="234" customFormat="1" ht="17.5" customHeight="1" x14ac:dyDescent="0.35">
      <c r="A235" s="367" t="s">
        <v>257</v>
      </c>
      <c r="B235" s="166" t="s">
        <v>74</v>
      </c>
      <c r="C235" s="138" t="s">
        <v>81</v>
      </c>
      <c r="D235" s="138">
        <v>1</v>
      </c>
    </row>
    <row r="236" spans="1:4" s="234" customFormat="1" ht="17.5" customHeight="1" x14ac:dyDescent="0.35">
      <c r="A236" s="367"/>
      <c r="B236" s="166" t="s">
        <v>92</v>
      </c>
      <c r="C236" s="138" t="s">
        <v>67</v>
      </c>
      <c r="D236" s="138">
        <v>1</v>
      </c>
    </row>
    <row r="237" spans="1:4" s="234" customFormat="1" ht="17.5" customHeight="1" x14ac:dyDescent="0.35">
      <c r="A237" s="367"/>
      <c r="B237" s="166" t="s">
        <v>258</v>
      </c>
      <c r="C237" s="138" t="s">
        <v>259</v>
      </c>
      <c r="D237" s="53">
        <v>1</v>
      </c>
    </row>
  </sheetData>
  <mergeCells count="136">
    <mergeCell ref="B2:D2"/>
    <mergeCell ref="A3:A22"/>
    <mergeCell ref="B3:B10"/>
    <mergeCell ref="C3:C10"/>
    <mergeCell ref="B11:B13"/>
    <mergeCell ref="C11:C13"/>
    <mergeCell ref="D11:D13"/>
    <mergeCell ref="D3:D10"/>
    <mergeCell ref="B20:B21"/>
    <mergeCell ref="C20:C21"/>
    <mergeCell ref="D24:D25"/>
    <mergeCell ref="D20:D21"/>
    <mergeCell ref="B22:C22"/>
    <mergeCell ref="B14:B19"/>
    <mergeCell ref="C14:C19"/>
    <mergeCell ref="D14:D19"/>
    <mergeCell ref="A24:A46"/>
    <mergeCell ref="B24:B25"/>
    <mergeCell ref="C24:C25"/>
    <mergeCell ref="B33:B37"/>
    <mergeCell ref="C33:C37"/>
    <mergeCell ref="B38:B39"/>
    <mergeCell ref="C38:C39"/>
    <mergeCell ref="B26:B27"/>
    <mergeCell ref="C26:C27"/>
    <mergeCell ref="B29:B31"/>
    <mergeCell ref="C29:C31"/>
    <mergeCell ref="B40:B41"/>
    <mergeCell ref="C40:C41"/>
    <mergeCell ref="B66:C66"/>
    <mergeCell ref="D33:D37"/>
    <mergeCell ref="B42:B46"/>
    <mergeCell ref="C42:C46"/>
    <mergeCell ref="D42:D46"/>
    <mergeCell ref="D38:D39"/>
    <mergeCell ref="D40:D41"/>
    <mergeCell ref="D26:D27"/>
    <mergeCell ref="D29:D31"/>
    <mergeCell ref="B55:B56"/>
    <mergeCell ref="C55:C56"/>
    <mergeCell ref="D55:D56"/>
    <mergeCell ref="D48:D50"/>
    <mergeCell ref="B48:B50"/>
    <mergeCell ref="C48:C50"/>
    <mergeCell ref="B68:C68"/>
    <mergeCell ref="A70:A84"/>
    <mergeCell ref="B70:B72"/>
    <mergeCell ref="A48:A68"/>
    <mergeCell ref="B83:C83"/>
    <mergeCell ref="B84:C84"/>
    <mergeCell ref="B61:B62"/>
    <mergeCell ref="C61:C62"/>
    <mergeCell ref="D61:D62"/>
    <mergeCell ref="B73:B74"/>
    <mergeCell ref="C88:C90"/>
    <mergeCell ref="D70:D72"/>
    <mergeCell ref="D75:D76"/>
    <mergeCell ref="B78:C78"/>
    <mergeCell ref="C73:C74"/>
    <mergeCell ref="D73:D74"/>
    <mergeCell ref="B75:B76"/>
    <mergeCell ref="C75:C76"/>
    <mergeCell ref="D88:D90"/>
    <mergeCell ref="A86:A126"/>
    <mergeCell ref="C70:C72"/>
    <mergeCell ref="B108:B109"/>
    <mergeCell ref="C108:C109"/>
    <mergeCell ref="D108:D109"/>
    <mergeCell ref="B114:C114"/>
    <mergeCell ref="C101:C104"/>
    <mergeCell ref="D101:D104"/>
    <mergeCell ref="B88:B90"/>
    <mergeCell ref="B94:B95"/>
    <mergeCell ref="C128:C129"/>
    <mergeCell ref="B120:B121"/>
    <mergeCell ref="C120:C121"/>
    <mergeCell ref="D120:D121"/>
    <mergeCell ref="B126:C126"/>
    <mergeCell ref="B115:B118"/>
    <mergeCell ref="C115:C118"/>
    <mergeCell ref="D115:D118"/>
    <mergeCell ref="D94:D95"/>
    <mergeCell ref="B101:B104"/>
    <mergeCell ref="C94:C95"/>
    <mergeCell ref="A138:A142"/>
    <mergeCell ref="B130:B133"/>
    <mergeCell ref="C130:C133"/>
    <mergeCell ref="D130:D133"/>
    <mergeCell ref="D128:D129"/>
    <mergeCell ref="A128:A136"/>
    <mergeCell ref="B128:B129"/>
    <mergeCell ref="B142:C142"/>
    <mergeCell ref="B136:C136"/>
    <mergeCell ref="B148:C148"/>
    <mergeCell ref="A144:A148"/>
    <mergeCell ref="A150:A152"/>
    <mergeCell ref="B161:C161"/>
    <mergeCell ref="A158:A161"/>
    <mergeCell ref="A166:A168"/>
    <mergeCell ref="A163:A164"/>
    <mergeCell ref="A170:A174"/>
    <mergeCell ref="B170:B171"/>
    <mergeCell ref="C170:C171"/>
    <mergeCell ref="D170:D171"/>
    <mergeCell ref="B174:C174"/>
    <mergeCell ref="B172:B173"/>
    <mergeCell ref="C172:C173"/>
    <mergeCell ref="D172:D173"/>
    <mergeCell ref="A180:A182"/>
    <mergeCell ref="B182:C182"/>
    <mergeCell ref="A176:A178"/>
    <mergeCell ref="A194:A200"/>
    <mergeCell ref="B200:C200"/>
    <mergeCell ref="A183:D183"/>
    <mergeCell ref="A184:A188"/>
    <mergeCell ref="A179:D179"/>
    <mergeCell ref="A202:A208"/>
    <mergeCell ref="D218:D219"/>
    <mergeCell ref="B223:C223"/>
    <mergeCell ref="B208:C208"/>
    <mergeCell ref="B212:B213"/>
    <mergeCell ref="C212:C213"/>
    <mergeCell ref="D212:D213"/>
    <mergeCell ref="D210:D211"/>
    <mergeCell ref="B210:B211"/>
    <mergeCell ref="C210:C211"/>
    <mergeCell ref="B226:C226"/>
    <mergeCell ref="A228:A229"/>
    <mergeCell ref="A210:A226"/>
    <mergeCell ref="B218:B219"/>
    <mergeCell ref="C218:C219"/>
    <mergeCell ref="A235:A237"/>
    <mergeCell ref="D231:D233"/>
    <mergeCell ref="A231:A233"/>
    <mergeCell ref="B231:B233"/>
    <mergeCell ref="C231:C233"/>
  </mergeCells>
  <conditionalFormatting sqref="A24:A46 A48:A50 A150 A154 A156 A163:A164 A166:A168 A176:A178 A180:A182 A184:A188 A190 A192 A194 A202 A228:A229 A231:A233 A235 A1:A22 A238:A1048576 A210:A226 A170:A174 A158:A161 A144:A148 A138:A142 A128:A136 A86:A126 A70:A84">
    <cfRule type="cellIs" dxfId="1" priority="1" operator="equal">
      <formula>"Yes"</formula>
    </cfRule>
    <cfRule type="cellIs" dxfId="0" priority="2" operator="equal">
      <formula>"No"</formula>
    </cfRule>
  </conditionalFormatting>
  <hyperlinks>
    <hyperlink ref="A231" r:id="rId1" xr:uid="{E8666DAF-BEF0-4E0B-BF5F-26C99606834E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F3E6B8DA5FF4DAC520CCF48BEF693" ma:contentTypeVersion="18" ma:contentTypeDescription="Create a new document." ma:contentTypeScope="" ma:versionID="20226b0140056f67684fe894ab0df5c3">
  <xsd:schema xmlns:xsd="http://www.w3.org/2001/XMLSchema" xmlns:xs="http://www.w3.org/2001/XMLSchema" xmlns:p="http://schemas.microsoft.com/office/2006/metadata/properties" xmlns:ns1="http://schemas.microsoft.com/sharepoint/v3" xmlns:ns2="16c2aca1-c970-466e-992e-f2e91004c1b5" xmlns:ns3="ea51a03a-f3fb-457e-8f98-52b9a1d13289" targetNamespace="http://schemas.microsoft.com/office/2006/metadata/properties" ma:root="true" ma:fieldsID="4f2a9235dc04204d5420a674429208c5" ns1:_="" ns2:_="" ns3:_="">
    <xsd:import namespace="http://schemas.microsoft.com/sharepoint/v3"/>
    <xsd:import namespace="16c2aca1-c970-466e-992e-f2e91004c1b5"/>
    <xsd:import namespace="ea51a03a-f3fb-457e-8f98-52b9a1d132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2aca1-c970-466e-992e-f2e91004c1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5b40eb4-c8ec-49a8-9f23-b4e55e99a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1a03a-f3fb-457e-8f98-52b9a1d132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1154b2b-0ee7-47a3-8ee4-cb4cdbef04b7}" ma:internalName="TaxCatchAll" ma:showField="CatchAllData" ma:web="ea51a03a-f3fb-457e-8f98-52b9a1d132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ea51a03a-f3fb-457e-8f98-52b9a1d13289" xsi:nil="true"/>
    <lcf76f155ced4ddcb4097134ff3c332f xmlns="16c2aca1-c970-466e-992e-f2e91004c1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AB1E52-3966-4768-8FE9-F3D1EEDB92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c2aca1-c970-466e-992e-f2e91004c1b5"/>
    <ds:schemaRef ds:uri="ea51a03a-f3fb-457e-8f98-52b9a1d132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9AFFD5-EA50-4CC5-A970-E5822C33CF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a51a03a-f3fb-457e-8f98-52b9a1d13289"/>
    <ds:schemaRef ds:uri="16c2aca1-c970-466e-992e-f2e91004c1b5"/>
  </ds:schemaRefs>
</ds:datastoreItem>
</file>

<file path=customXml/itemProps3.xml><?xml version="1.0" encoding="utf-8"?>
<ds:datastoreItem xmlns:ds="http://schemas.openxmlformats.org/officeDocument/2006/customXml" ds:itemID="{62CA5E72-62FD-4AB5-8D62-86685FCC7C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WorkShift List</vt:lpstr>
      <vt:lpstr>Mon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Goh Shu-Ann Sandra</dc:creator>
  <cp:keywords/>
  <dc:description/>
  <cp:lastModifiedBy>Jackie Tan Xiang Chen</cp:lastModifiedBy>
  <cp:revision/>
  <dcterms:created xsi:type="dcterms:W3CDTF">2025-10-23T12:54:35Z</dcterms:created>
  <dcterms:modified xsi:type="dcterms:W3CDTF">2026-10-04T01:40:23Z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0x01010027EF3E6B8DA5FF4DAC520CCF48BEF693</vt:lpwstr>
  </property>
  <property fmtid="{D5CDD505-2E9C-101B-9397-08002B2CF9AE}" pid="3" name="MediaServiceImageTags">
    <vt:lpwstr/>
  </property>
</Properties>
</file>